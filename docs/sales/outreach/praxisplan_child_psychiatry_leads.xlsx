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'Leads'!$A$1:$AN$1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24" customWidth="1" min="4" max="4"/>
    <col width="34" customWidth="1" min="5" max="5"/>
    <col width="30" customWidth="1" min="6" max="6"/>
    <col width="32" customWidth="1" min="7" max="7"/>
    <col width="12" customWidth="1" min="8" max="8"/>
    <col width="14" customWidth="1" min="9" max="9"/>
    <col width="28" customWidth="1" min="10" max="10"/>
    <col width="20" customWidth="1" min="11" max="11"/>
    <col width="28" customWidth="1" min="12" max="12"/>
    <col width="30" customWidth="1" min="13" max="13"/>
    <col width="38" customWidth="1" min="14" max="14"/>
    <col width="20" customWidth="1" min="15" max="15"/>
    <col width="12" customWidth="1" min="16" max="16"/>
    <col width="22" customWidth="1" min="17" max="17"/>
    <col width="22" customWidth="1" min="18" max="18"/>
    <col width="14" customWidth="1" min="19" max="19"/>
    <col width="30" customWidth="1" min="20" max="20"/>
    <col width="22" customWidth="1" min="21" max="21"/>
    <col width="18" customWidth="1" min="22" max="22"/>
    <col width="22" customWidth="1" min="23" max="23"/>
    <col width="18" customWidth="1" min="24" max="24"/>
    <col width="22" customWidth="1" min="25" max="25"/>
    <col width="16" customWidth="1" min="26" max="26"/>
    <col width="20" customWidth="1" min="27" max="27"/>
    <col width="16" customWidth="1" min="28" max="28"/>
    <col width="22" customWidth="1" min="29" max="29"/>
    <col width="22" customWidth="1" min="30" max="30"/>
    <col width="18" customWidth="1" min="31" max="31"/>
    <col width="16" customWidth="1" min="32" max="32"/>
    <col width="14" customWidth="1" min="33" max="33"/>
    <col width="14" customWidth="1" min="34" max="34"/>
    <col width="14" customWidth="1" min="35" max="35"/>
    <col width="16" customWidth="1" min="36" max="36"/>
    <col width="30" customWidth="1" min="37" max="37"/>
    <col width="30" customWidth="1" min="38" max="38"/>
    <col width="40" customWidth="1" min="39" max="39"/>
    <col width="14" customWidth="1" min="40" max="40"/>
  </cols>
  <sheetData>
    <row r="1" ht="30" customHeight="1">
      <c r="A1" s="1" t="inlineStr">
        <is>
          <t>Lead ID</t>
        </is>
      </c>
      <c r="B1" s="1" t="inlineStr">
        <is>
          <t>Doctor Name</t>
        </is>
      </c>
      <c r="C1" s="1" t="inlineStr">
        <is>
          <t>Title</t>
        </is>
      </c>
      <c r="D1" s="1" t="inlineStr">
        <is>
          <t>Practice Name</t>
        </is>
      </c>
      <c r="E1" s="1" t="inlineStr">
        <is>
          <t>Specialty</t>
        </is>
      </c>
      <c r="F1" s="1" t="inlineStr">
        <is>
          <t>Sub-specialty / Notes from Listing</t>
        </is>
      </c>
      <c r="G1" s="1" t="inlineStr">
        <is>
          <t>Address</t>
        </is>
      </c>
      <c r="H1" s="1" t="inlineStr">
        <is>
          <t>Postal Code</t>
        </is>
      </c>
      <c r="I1" s="1" t="inlineStr">
        <is>
          <t>City</t>
        </is>
      </c>
      <c r="J1" s="1" t="inlineStr">
        <is>
          <t>District</t>
        </is>
      </c>
      <c r="K1" s="1" t="inlineStr">
        <is>
          <t>Phone</t>
        </is>
      </c>
      <c r="L1" s="1" t="inlineStr">
        <is>
          <t>Email</t>
        </is>
      </c>
      <c r="M1" s="1" t="inlineStr">
        <is>
          <t>Website</t>
        </is>
      </c>
      <c r="N1" s="1" t="inlineStr">
        <is>
          <t>Praxisplan Profile URL</t>
        </is>
      </c>
      <c r="O1" s="1" t="inlineStr">
        <is>
          <t>Source URL</t>
        </is>
      </c>
      <c r="P1" s="1" t="inlineStr">
        <is>
          <t>Source</t>
        </is>
      </c>
      <c r="Q1" s="1" t="inlineStr">
        <is>
          <t>Existing System Mentioned</t>
        </is>
      </c>
      <c r="R1" s="1" t="inlineStr">
        <is>
          <t>Likely LATIDO / Online Booking</t>
        </is>
      </c>
      <c r="S1" s="1" t="inlineStr">
        <is>
          <t>Priority Score</t>
        </is>
      </c>
      <c r="T1" s="1" t="inlineStr">
        <is>
          <t>Priority Reason</t>
        </is>
      </c>
      <c r="U1" s="1" t="inlineStr">
        <is>
          <t>Outreach Status</t>
        </is>
      </c>
      <c r="V1" s="1" t="inlineStr">
        <is>
          <t>Call Attempt 1 Date</t>
        </is>
      </c>
      <c r="W1" s="1" t="inlineStr">
        <is>
          <t>Call Attempt 1 Result</t>
        </is>
      </c>
      <c r="X1" s="1" t="inlineStr">
        <is>
          <t>Call Attempt 2 Date</t>
        </is>
      </c>
      <c r="Y1" s="1" t="inlineStr">
        <is>
          <t>Call Attempt 2 Result</t>
        </is>
      </c>
      <c r="Z1" s="1" t="inlineStr">
        <is>
          <t>Email Sent Date</t>
        </is>
      </c>
      <c r="AA1" s="1" t="inlineStr">
        <is>
          <t>Email Result</t>
        </is>
      </c>
      <c r="AB1" s="1" t="inlineStr">
        <is>
          <t>Walk-in Date</t>
        </is>
      </c>
      <c r="AC1" s="1" t="inlineStr">
        <is>
          <t>Walk-in Result</t>
        </is>
      </c>
      <c r="AD1" s="1" t="inlineStr">
        <is>
          <t>Contact Person</t>
        </is>
      </c>
      <c r="AE1" s="1" t="inlineStr">
        <is>
          <t>Best Time to Call</t>
        </is>
      </c>
      <c r="AF1" s="1" t="inlineStr">
        <is>
          <t>Follow-up Date</t>
        </is>
      </c>
      <c r="AG1" s="1" t="inlineStr">
        <is>
          <t>Demo Offered</t>
        </is>
      </c>
      <c r="AH1" s="1" t="inlineStr">
        <is>
          <t>Demo Booked</t>
        </is>
      </c>
      <c r="AI1" s="1" t="inlineStr">
        <is>
          <t>Demo Date</t>
        </is>
      </c>
      <c r="AJ1" s="1" t="inlineStr">
        <is>
          <t>Pilot Interest</t>
        </is>
      </c>
      <c r="AK1" s="1" t="inlineStr">
        <is>
          <t>Objection</t>
        </is>
      </c>
      <c r="AL1" s="1" t="inlineStr">
        <is>
          <t>Next Action</t>
        </is>
      </c>
      <c r="AM1" s="1" t="inlineStr">
        <is>
          <t>Notes</t>
        </is>
      </c>
      <c r="AN1" s="1" t="inlineStr">
        <is>
          <t>Last Updated</t>
        </is>
      </c>
    </row>
    <row r="2">
      <c r="A2" t="inlineStr">
        <is>
          <t>LEAD-0001</t>
        </is>
      </c>
      <c r="B2" t="inlineStr">
        <is>
          <t>Dr. Sonja Aichberger</t>
        </is>
      </c>
      <c r="C2" t="inlineStr">
        <is>
          <t>Dr.</t>
        </is>
      </c>
      <c r="D2" t="inlineStr"/>
      <c r="E2" t="inlineStr">
        <is>
          <t>Kinder- u. Jugendpsychiatrie u. Psychotherapeutische Medizin</t>
        </is>
      </c>
      <c r="F2" t="inlineStr"/>
      <c r="G2" t="inlineStr">
        <is>
          <t>Stumpergasse 13/Top 11/6.Stock</t>
        </is>
      </c>
      <c r="H2" t="inlineStr">
        <is>
          <t>1060</t>
        </is>
      </c>
      <c r="I2" t="inlineStr">
        <is>
          <t>Wien</t>
        </is>
      </c>
      <c r="J2" t="inlineStr">
        <is>
          <t>6. Bezirk – Mariahilf</t>
        </is>
      </c>
      <c r="K2" t="inlineStr">
        <is>
          <t>+43 664 223 60 88</t>
        </is>
      </c>
      <c r="L2" t="inlineStr"/>
      <c r="M2" t="inlineStr"/>
      <c r="N2" t="inlineStr">
        <is>
          <t>https://www.praxisplan.at/9704/sonja-aichberger/ordination/1</t>
        </is>
      </c>
      <c r="O2" t="inlineStr">
        <is>
          <t>https://www.praxisplan.at/suche?name=&amp;specialization=71&amp;zip=&amp;gender=&amp;diploma=&amp;specialty=&amp;insurance=&amp;vaccine=&amp;locale=</t>
        </is>
      </c>
      <c r="P2" t="inlineStr">
        <is>
          <t>Praxisplan</t>
        </is>
      </c>
      <c r="Q2" t="inlineStr"/>
      <c r="R2" t="inlineStr">
        <is>
          <t>Unknown</t>
        </is>
      </c>
      <c r="S2" t="inlineStr">
        <is>
          <t>3</t>
        </is>
      </c>
      <c r="T2" t="inlineStr">
        <is>
          <t>Public phone, vienna, high callback specialty</t>
        </is>
      </c>
      <c r="U2" t="inlineStr">
        <is>
          <t>Not contacted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No</t>
        </is>
      </c>
      <c r="AH2" t="inlineStr">
        <is>
          <t>No</t>
        </is>
      </c>
      <c r="AI2" t="inlineStr"/>
      <c r="AJ2" t="inlineStr">
        <is>
          <t>Unknown</t>
        </is>
      </c>
      <c r="AK2" t="inlineStr"/>
      <c r="AL2" t="inlineStr"/>
      <c r="AM2" t="inlineStr"/>
      <c r="AN2" t="inlineStr">
        <is>
          <t>2026-07-10</t>
        </is>
      </c>
    </row>
    <row r="3">
      <c r="A3" t="inlineStr">
        <is>
          <t>LEAD-0002</t>
        </is>
      </c>
      <c r="B3" t="inlineStr">
        <is>
          <t>Prof. Dr. Türkan Akkaya-Kalayci</t>
        </is>
      </c>
      <c r="C3" t="inlineStr">
        <is>
          <t>Prof. Dr.</t>
        </is>
      </c>
      <c r="D3" t="inlineStr"/>
      <c r="E3" t="inlineStr">
        <is>
          <t>Kinder- u. Jugendpsychiatrie</t>
        </is>
      </c>
      <c r="F3" t="inlineStr"/>
      <c r="G3" t="inlineStr">
        <is>
          <t>Zimmermanngasse 11/6</t>
        </is>
      </c>
      <c r="H3" t="inlineStr">
        <is>
          <t>1090</t>
        </is>
      </c>
      <c r="I3" t="inlineStr">
        <is>
          <t>Wien</t>
        </is>
      </c>
      <c r="J3" t="inlineStr">
        <is>
          <t>9. Bezirk – Alsergrund</t>
        </is>
      </c>
      <c r="K3" t="inlineStr">
        <is>
          <t>+43 699 192 522 87</t>
        </is>
      </c>
      <c r="L3" t="inlineStr"/>
      <c r="M3" t="inlineStr"/>
      <c r="N3" t="inlineStr">
        <is>
          <t>https://www.praxisplan.at/5748/turkan-akkaya-kalayci/ordination/2</t>
        </is>
      </c>
      <c r="O3" t="inlineStr">
        <is>
          <t>https://www.praxisplan.at/suche?name=&amp;specialization=71&amp;zip=&amp;gender=&amp;diploma=&amp;specialty=&amp;insurance=&amp;vaccine=&amp;locale=</t>
        </is>
      </c>
      <c r="P3" t="inlineStr">
        <is>
          <t>Praxisplan</t>
        </is>
      </c>
      <c r="Q3" t="inlineStr"/>
      <c r="R3" t="inlineStr">
        <is>
          <t>Unknown</t>
        </is>
      </c>
      <c r="S3" t="inlineStr">
        <is>
          <t>3</t>
        </is>
      </c>
      <c r="T3" t="inlineStr">
        <is>
          <t>Public phone, vienna, high callback specialty</t>
        </is>
      </c>
      <c r="U3" t="inlineStr">
        <is>
          <t>Not contacted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No</t>
        </is>
      </c>
      <c r="AH3" t="inlineStr">
        <is>
          <t>No</t>
        </is>
      </c>
      <c r="AI3" t="inlineStr"/>
      <c r="AJ3" t="inlineStr">
        <is>
          <t>Unknown</t>
        </is>
      </c>
      <c r="AK3" t="inlineStr"/>
      <c r="AL3" t="inlineStr"/>
      <c r="AM3" t="inlineStr"/>
      <c r="AN3" t="inlineStr">
        <is>
          <t>2026-07-10</t>
        </is>
      </c>
    </row>
    <row r="4">
      <c r="A4" t="inlineStr">
        <is>
          <t>LEAD-0003</t>
        </is>
      </c>
      <c r="B4" t="inlineStr">
        <is>
          <t>Univ.Prof. Dr. Ernst Berger</t>
        </is>
      </c>
      <c r="C4" t="inlineStr">
        <is>
          <t>Univ.Prof. Dr.</t>
        </is>
      </c>
      <c r="D4" t="inlineStr"/>
      <c r="E4" t="inlineStr">
        <is>
          <t>Kinder- u. Jugendpsychiatrie</t>
        </is>
      </c>
      <c r="F4" t="inlineStr"/>
      <c r="G4" t="inlineStr">
        <is>
          <t>Rosenbursenstraße 8/7</t>
        </is>
      </c>
      <c r="H4" t="inlineStr">
        <is>
          <t>1010</t>
        </is>
      </c>
      <c r="I4" t="inlineStr">
        <is>
          <t>Wien</t>
        </is>
      </c>
      <c r="J4" t="inlineStr">
        <is>
          <t>1. Bezirk – Innere Stadt</t>
        </is>
      </c>
      <c r="K4" t="inlineStr">
        <is>
          <t>+43 664 783 50 42</t>
        </is>
      </c>
      <c r="L4" t="inlineStr"/>
      <c r="M4" t="inlineStr"/>
      <c r="N4" t="inlineStr">
        <is>
          <t>https://www.praxisplan.at/164/ernst-berger/ordination/2</t>
        </is>
      </c>
      <c r="O4" t="inlineStr">
        <is>
          <t>https://www.praxisplan.at/suche?name=&amp;specialization=71&amp;zip=&amp;gender=&amp;diploma=&amp;specialty=&amp;insurance=&amp;vaccine=&amp;locale=</t>
        </is>
      </c>
      <c r="P4" t="inlineStr">
        <is>
          <t>Praxisplan</t>
        </is>
      </c>
      <c r="Q4" t="inlineStr"/>
      <c r="R4" t="inlineStr">
        <is>
          <t>Unknown</t>
        </is>
      </c>
      <c r="S4" t="inlineStr">
        <is>
          <t>3</t>
        </is>
      </c>
      <c r="T4" t="inlineStr">
        <is>
          <t>Public phone, vienna, high callback specialty</t>
        </is>
      </c>
      <c r="U4" t="inlineStr">
        <is>
          <t>Not contacted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No</t>
        </is>
      </c>
      <c r="AH4" t="inlineStr">
        <is>
          <t>No</t>
        </is>
      </c>
      <c r="AI4" t="inlineStr"/>
      <c r="AJ4" t="inlineStr">
        <is>
          <t>Unknown</t>
        </is>
      </c>
      <c r="AK4" t="inlineStr"/>
      <c r="AL4" t="inlineStr"/>
      <c r="AM4" t="inlineStr"/>
      <c r="AN4" t="inlineStr">
        <is>
          <t>2026-07-10</t>
        </is>
      </c>
    </row>
    <row r="5">
      <c r="A5" t="inlineStr">
        <is>
          <t>LEAD-0004</t>
        </is>
      </c>
      <c r="B5" t="inlineStr">
        <is>
          <t>Dr. Robert Bonell</t>
        </is>
      </c>
      <c r="C5" t="inlineStr">
        <is>
          <t>Dr.</t>
        </is>
      </c>
      <c r="D5" t="inlineStr"/>
      <c r="E5" t="inlineStr">
        <is>
          <t>Kinder- u. Jugendpsychiatrie u. Psychotherapeutische Medizin</t>
        </is>
      </c>
      <c r="F5" t="inlineStr"/>
      <c r="G5" t="inlineStr">
        <is>
          <t>Gestettengasse 7</t>
        </is>
      </c>
      <c r="H5" t="inlineStr">
        <is>
          <t>1030</t>
        </is>
      </c>
      <c r="I5" t="inlineStr">
        <is>
          <t>Wien</t>
        </is>
      </c>
      <c r="J5" t="inlineStr">
        <is>
          <t>3. Bezirk – Landstraße</t>
        </is>
      </c>
      <c r="K5" t="inlineStr">
        <is>
          <t>+43 660 643 01 44</t>
        </is>
      </c>
      <c r="L5" t="inlineStr"/>
      <c r="M5" t="inlineStr"/>
      <c r="N5" t="inlineStr">
        <is>
          <t>https://www.praxisplan.at/11286/robert-bonell/ordination/1</t>
        </is>
      </c>
      <c r="O5" t="inlineStr">
        <is>
          <t>https://www.praxisplan.at/suche?name=&amp;specialization=71&amp;zip=&amp;gender=&amp;diploma=&amp;specialty=&amp;insurance=&amp;vaccine=&amp;locale=</t>
        </is>
      </c>
      <c r="P5" t="inlineStr">
        <is>
          <t>Praxisplan</t>
        </is>
      </c>
      <c r="Q5" t="inlineStr"/>
      <c r="R5" t="inlineStr">
        <is>
          <t>Unknown</t>
        </is>
      </c>
      <c r="S5" t="inlineStr">
        <is>
          <t>3</t>
        </is>
      </c>
      <c r="T5" t="inlineStr">
        <is>
          <t>Public phone, vienna, high callback specialty</t>
        </is>
      </c>
      <c r="U5" t="inlineStr">
        <is>
          <t>Not contacted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No</t>
        </is>
      </c>
      <c r="AH5" t="inlineStr">
        <is>
          <t>No</t>
        </is>
      </c>
      <c r="AI5" t="inlineStr"/>
      <c r="AJ5" t="inlineStr">
        <is>
          <t>Unknown</t>
        </is>
      </c>
      <c r="AK5" t="inlineStr"/>
      <c r="AL5" t="inlineStr"/>
      <c r="AM5" t="inlineStr"/>
      <c r="AN5" t="inlineStr">
        <is>
          <t>2026-07-10</t>
        </is>
      </c>
    </row>
    <row r="6">
      <c r="A6" t="inlineStr">
        <is>
          <t>LEAD-0005</t>
        </is>
      </c>
      <c r="B6" t="inlineStr">
        <is>
          <t>Univ.Prof. Dr. Kanita Dervic</t>
        </is>
      </c>
      <c r="C6" t="inlineStr">
        <is>
          <t>Univ.Prof. Dr.</t>
        </is>
      </c>
      <c r="D6" t="inlineStr"/>
      <c r="E6" t="inlineStr">
        <is>
          <t>Kinder- u. Jugendpsychiatrie u. Psychotherapeutische Medizin</t>
        </is>
      </c>
      <c r="F6" t="inlineStr"/>
      <c r="G6" t="inlineStr">
        <is>
          <t>Währinger Straße 18/3</t>
        </is>
      </c>
      <c r="H6" t="inlineStr">
        <is>
          <t>1090</t>
        </is>
      </c>
      <c r="I6" t="inlineStr">
        <is>
          <t>Wien</t>
        </is>
      </c>
      <c r="J6" t="inlineStr">
        <is>
          <t>9. Bezirk – Alsergrund</t>
        </is>
      </c>
      <c r="K6" t="inlineStr"/>
      <c r="L6" t="inlineStr"/>
      <c r="M6" t="inlineStr"/>
      <c r="N6" t="inlineStr">
        <is>
          <t>https://www.praxisplan.at/5826/kanita-dervic/ordination/1</t>
        </is>
      </c>
      <c r="O6" t="inlineStr">
        <is>
          <t>https://www.praxisplan.at/suche?name=&amp;specialization=71&amp;zip=&amp;gender=&amp;diploma=&amp;specialty=&amp;insurance=&amp;vaccine=&amp;locale=</t>
        </is>
      </c>
      <c r="P6" t="inlineStr">
        <is>
          <t>Praxisplan</t>
        </is>
      </c>
      <c r="Q6" t="inlineStr"/>
      <c r="R6" t="inlineStr">
        <is>
          <t>Unknown</t>
        </is>
      </c>
      <c r="S6" t="inlineStr">
        <is>
          <t>2</t>
        </is>
      </c>
      <c r="T6" t="inlineStr">
        <is>
          <t>Vienna, high callback specialty</t>
        </is>
      </c>
      <c r="U6" t="inlineStr">
        <is>
          <t>Not contacted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No</t>
        </is>
      </c>
      <c r="AH6" t="inlineStr">
        <is>
          <t>No</t>
        </is>
      </c>
      <c r="AI6" t="inlineStr"/>
      <c r="AJ6" t="inlineStr">
        <is>
          <t>Unknown</t>
        </is>
      </c>
      <c r="AK6" t="inlineStr"/>
      <c r="AL6" t="inlineStr"/>
      <c r="AM6" t="inlineStr"/>
      <c r="AN6" t="inlineStr">
        <is>
          <t>2026-07-10</t>
        </is>
      </c>
    </row>
    <row r="7">
      <c r="A7" t="inlineStr">
        <is>
          <t>LEAD-0006</t>
        </is>
      </c>
      <c r="B7" t="inlineStr">
        <is>
          <t>Dr. Nina Alexandra Ebner</t>
        </is>
      </c>
      <c r="C7" t="inlineStr">
        <is>
          <t>Dr.</t>
        </is>
      </c>
      <c r="D7" t="inlineStr"/>
      <c r="E7" t="inlineStr">
        <is>
          <t>Kinder- u. Jugendpsychiatrie u. Psychotherapeutische Medizin (alle Kassen)</t>
        </is>
      </c>
      <c r="F7" t="inlineStr"/>
      <c r="G7" t="inlineStr">
        <is>
          <t>Ottakringer Straße 145/2</t>
        </is>
      </c>
      <c r="H7" t="inlineStr">
        <is>
          <t>1160</t>
        </is>
      </c>
      <c r="I7" t="inlineStr">
        <is>
          <t>Wien</t>
        </is>
      </c>
      <c r="J7" t="inlineStr">
        <is>
          <t>16. Bezirk – Ottakring</t>
        </is>
      </c>
      <c r="K7" t="inlineStr">
        <is>
          <t>+43 1 387 99 99</t>
        </is>
      </c>
      <c r="L7" t="inlineStr"/>
      <c r="M7" t="inlineStr"/>
      <c r="N7" t="inlineStr">
        <is>
          <t>https://www.praxisplan.at/6391/nina-alexandra-ebner/ordination/1</t>
        </is>
      </c>
      <c r="O7" t="inlineStr">
        <is>
          <t>https://www.praxisplan.at/suche?name=&amp;specialization=71&amp;zip=&amp;gender=&amp;diploma=&amp;specialty=&amp;insurance=&amp;vaccine=&amp;locale=</t>
        </is>
      </c>
      <c r="P7" t="inlineStr">
        <is>
          <t>Praxisplan</t>
        </is>
      </c>
      <c r="Q7" t="inlineStr"/>
      <c r="R7" t="inlineStr">
        <is>
          <t>Unknown</t>
        </is>
      </c>
      <c r="S7" t="inlineStr">
        <is>
          <t>3</t>
        </is>
      </c>
      <c r="T7" t="inlineStr">
        <is>
          <t>Public phone, vienna, high callback specialty</t>
        </is>
      </c>
      <c r="U7" t="inlineStr">
        <is>
          <t>Not contacted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No</t>
        </is>
      </c>
      <c r="AH7" t="inlineStr">
        <is>
          <t>No</t>
        </is>
      </c>
      <c r="AI7" t="inlineStr"/>
      <c r="AJ7" t="inlineStr">
        <is>
          <t>Unknown</t>
        </is>
      </c>
      <c r="AK7" t="inlineStr"/>
      <c r="AL7" t="inlineStr"/>
      <c r="AM7" t="inlineStr"/>
      <c r="AN7" t="inlineStr">
        <is>
          <t>2026-07-10</t>
        </is>
      </c>
    </row>
    <row r="8">
      <c r="A8" t="inlineStr">
        <is>
          <t>LEAD-0007</t>
        </is>
      </c>
      <c r="B8" t="inlineStr">
        <is>
          <t>Dr. Harald Eder</t>
        </is>
      </c>
      <c r="C8" t="inlineStr">
        <is>
          <t>Dr.</t>
        </is>
      </c>
      <c r="D8" t="inlineStr"/>
      <c r="E8" t="inlineStr">
        <is>
          <t>Kinder- u. Jugendpsychiatrie</t>
        </is>
      </c>
      <c r="F8" t="inlineStr"/>
      <c r="G8" t="inlineStr">
        <is>
          <t>Fasangasse 20/15</t>
        </is>
      </c>
      <c r="H8" t="inlineStr">
        <is>
          <t>1030</t>
        </is>
      </c>
      <c r="I8" t="inlineStr">
        <is>
          <t>Wien</t>
        </is>
      </c>
      <c r="J8" t="inlineStr">
        <is>
          <t>3. Bezirk – Landstraße</t>
        </is>
      </c>
      <c r="K8" t="inlineStr">
        <is>
          <t>+43 664 736 702 37</t>
        </is>
      </c>
      <c r="L8" t="inlineStr"/>
      <c r="M8" t="inlineStr"/>
      <c r="N8" t="inlineStr">
        <is>
          <t>https://www.praxisplan.at/5233/harald-eder/ordination/1</t>
        </is>
      </c>
      <c r="O8" t="inlineStr">
        <is>
          <t>https://www.praxisplan.at/suche?name=&amp;specialization=71&amp;zip=&amp;gender=&amp;diploma=&amp;specialty=&amp;insurance=&amp;vaccine=&amp;locale=</t>
        </is>
      </c>
      <c r="P8" t="inlineStr">
        <is>
          <t>Praxisplan</t>
        </is>
      </c>
      <c r="Q8" t="inlineStr"/>
      <c r="R8" t="inlineStr">
        <is>
          <t>Unknown</t>
        </is>
      </c>
      <c r="S8" t="inlineStr">
        <is>
          <t>3</t>
        </is>
      </c>
      <c r="T8" t="inlineStr">
        <is>
          <t>Public phone, vienna, high callback specialty</t>
        </is>
      </c>
      <c r="U8" t="inlineStr">
        <is>
          <t>Not contacted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No</t>
        </is>
      </c>
      <c r="AH8" t="inlineStr">
        <is>
          <t>No</t>
        </is>
      </c>
      <c r="AI8" t="inlineStr"/>
      <c r="AJ8" t="inlineStr">
        <is>
          <t>Unknown</t>
        </is>
      </c>
      <c r="AK8" t="inlineStr"/>
      <c r="AL8" t="inlineStr"/>
      <c r="AM8" t="inlineStr"/>
      <c r="AN8" t="inlineStr">
        <is>
          <t>2026-07-10</t>
        </is>
      </c>
    </row>
    <row r="9">
      <c r="A9" t="inlineStr">
        <is>
          <t>LEAD-0008</t>
        </is>
      </c>
      <c r="B9" t="inlineStr">
        <is>
          <t>Dr. Thomas Elstner</t>
        </is>
      </c>
      <c r="C9" t="inlineStr">
        <is>
          <t>Dr.</t>
        </is>
      </c>
      <c r="D9" t="inlineStr"/>
      <c r="E9" t="inlineStr">
        <is>
          <t>Kinder- u. Jugendpsychiatrie u. Psychotherapeutische Medizin</t>
        </is>
      </c>
      <c r="F9" t="inlineStr"/>
      <c r="G9" t="inlineStr">
        <is>
          <t>Ebendorferstraße 10/6a</t>
        </is>
      </c>
      <c r="H9" t="inlineStr">
        <is>
          <t>1010</t>
        </is>
      </c>
      <c r="I9" t="inlineStr">
        <is>
          <t>Wien</t>
        </is>
      </c>
      <c r="J9" t="inlineStr">
        <is>
          <t>1. Bezirk – Innere Stadt</t>
        </is>
      </c>
      <c r="K9" t="inlineStr">
        <is>
          <t>+43 676 743 52 67</t>
        </is>
      </c>
      <c r="L9" t="inlineStr"/>
      <c r="M9" t="inlineStr"/>
      <c r="N9" t="inlineStr">
        <is>
          <t>https://www.praxisplan.at/1233/thomas-elstner/ordination/1</t>
        </is>
      </c>
      <c r="O9" t="inlineStr">
        <is>
          <t>https://www.praxisplan.at/suche?name=&amp;specialization=71&amp;zip=&amp;gender=&amp;diploma=&amp;specialty=&amp;insurance=&amp;vaccine=&amp;locale=</t>
        </is>
      </c>
      <c r="P9" t="inlineStr">
        <is>
          <t>Praxisplan</t>
        </is>
      </c>
      <c r="Q9" t="inlineStr"/>
      <c r="R9" t="inlineStr">
        <is>
          <t>Unknown</t>
        </is>
      </c>
      <c r="S9" t="inlineStr">
        <is>
          <t>3</t>
        </is>
      </c>
      <c r="T9" t="inlineStr">
        <is>
          <t>Public phone, vienna, high callback specialty</t>
        </is>
      </c>
      <c r="U9" t="inlineStr">
        <is>
          <t>Not contacted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No</t>
        </is>
      </c>
      <c r="AH9" t="inlineStr">
        <is>
          <t>No</t>
        </is>
      </c>
      <c r="AI9" t="inlineStr"/>
      <c r="AJ9" t="inlineStr">
        <is>
          <t>Unknown</t>
        </is>
      </c>
      <c r="AK9" t="inlineStr"/>
      <c r="AL9" t="inlineStr"/>
      <c r="AM9" t="inlineStr"/>
      <c r="AN9" t="inlineStr">
        <is>
          <t>2026-07-10</t>
        </is>
      </c>
    </row>
    <row r="10">
      <c r="A10" t="inlineStr">
        <is>
          <t>LEAD-0009</t>
        </is>
      </c>
      <c r="B10" t="inlineStr">
        <is>
          <t>Dr. Gottfried Fellner</t>
        </is>
      </c>
      <c r="C10" t="inlineStr">
        <is>
          <t>Dr.</t>
        </is>
      </c>
      <c r="D10" t="inlineStr"/>
      <c r="E10" t="inlineStr">
        <is>
          <t>Kinder- u. Jugendpsychiatrie (alle Kassen)</t>
        </is>
      </c>
      <c r="F10" t="inlineStr"/>
      <c r="G10" t="inlineStr">
        <is>
          <t>wieder geöffnet am 13.07.</t>
        </is>
      </c>
      <c r="H10" t="inlineStr">
        <is>
          <t>2026</t>
        </is>
      </c>
      <c r="I10" t="inlineStr">
        <is>
          <t>: 13.00 - 19.00 Uhr</t>
        </is>
      </c>
      <c r="J10" t="inlineStr"/>
      <c r="K10" t="inlineStr">
        <is>
          <t>+43 670 602 13 44</t>
        </is>
      </c>
      <c r="L10" t="inlineStr"/>
      <c r="M10" t="inlineStr"/>
      <c r="N10" t="inlineStr">
        <is>
          <t>https://www.praxisplan.at/6718/gottfried-fellner/ordination/1</t>
        </is>
      </c>
      <c r="O10" t="inlineStr">
        <is>
          <t>https://www.praxisplan.at/suche?name=&amp;specialization=71&amp;zip=&amp;gender=&amp;diploma=&amp;specialty=&amp;insurance=&amp;vaccine=&amp;locale=</t>
        </is>
      </c>
      <c r="P10" t="inlineStr">
        <is>
          <t>Praxisplan</t>
        </is>
      </c>
      <c r="Q10" t="inlineStr"/>
      <c r="R10" t="inlineStr">
        <is>
          <t>Unknown</t>
        </is>
      </c>
      <c r="S10" t="inlineStr">
        <is>
          <t>2</t>
        </is>
      </c>
      <c r="T10" t="inlineStr">
        <is>
          <t>Public phone, high callback specialty</t>
        </is>
      </c>
      <c r="U10" t="inlineStr">
        <is>
          <t>Not contacted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No</t>
        </is>
      </c>
      <c r="AH10" t="inlineStr">
        <is>
          <t>No</t>
        </is>
      </c>
      <c r="AI10" t="inlineStr"/>
      <c r="AJ10" t="inlineStr">
        <is>
          <t>Unknown</t>
        </is>
      </c>
      <c r="AK10" t="inlineStr"/>
      <c r="AL10" t="inlineStr"/>
      <c r="AM10" t="inlineStr"/>
      <c r="AN10" t="inlineStr">
        <is>
          <t>2026-07-10</t>
        </is>
      </c>
    </row>
    <row r="11">
      <c r="A11" t="inlineStr">
        <is>
          <t>LEAD-0010</t>
        </is>
      </c>
      <c r="B11" t="inlineStr">
        <is>
          <t>Dr. Stefan Ferenci</t>
        </is>
      </c>
      <c r="C11" t="inlineStr">
        <is>
          <t>Dr.</t>
        </is>
      </c>
      <c r="D11" t="inlineStr"/>
      <c r="E11" t="inlineStr">
        <is>
          <t>Kinder- u. Jugendpsychiatrie (alle Kassen)</t>
        </is>
      </c>
      <c r="F11" t="inlineStr"/>
      <c r="G11" t="inlineStr">
        <is>
          <t>wieder geöffnet am 13.07.</t>
        </is>
      </c>
      <c r="H11" t="inlineStr">
        <is>
          <t>2026</t>
        </is>
      </c>
      <c r="I11" t="inlineStr">
        <is>
          <t>: 09.00 - 15.00 Uhr</t>
        </is>
      </c>
      <c r="J11" t="inlineStr"/>
      <c r="K11" t="inlineStr">
        <is>
          <t>+43 1 943 86 98</t>
        </is>
      </c>
      <c r="L11" t="inlineStr"/>
      <c r="M11" t="inlineStr"/>
      <c r="N11" t="inlineStr">
        <is>
          <t>https://www.praxisplan.at/7412/stefan-ferenci/ordination/1</t>
        </is>
      </c>
      <c r="O11" t="inlineStr">
        <is>
          <t>https://www.praxisplan.at/suche?name=&amp;specialization=71&amp;zip=&amp;gender=&amp;diploma=&amp;specialty=&amp;insurance=&amp;vaccine=&amp;locale=</t>
        </is>
      </c>
      <c r="P11" t="inlineStr">
        <is>
          <t>Praxisplan</t>
        </is>
      </c>
      <c r="Q11" t="inlineStr"/>
      <c r="R11" t="inlineStr">
        <is>
          <t>Unknown</t>
        </is>
      </c>
      <c r="S11" t="inlineStr">
        <is>
          <t>2</t>
        </is>
      </c>
      <c r="T11" t="inlineStr">
        <is>
          <t>Public phone, high callback specialty</t>
        </is>
      </c>
      <c r="U11" t="inlineStr">
        <is>
          <t>Not contacted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No</t>
        </is>
      </c>
      <c r="AH11" t="inlineStr">
        <is>
          <t>No</t>
        </is>
      </c>
      <c r="AI11" t="inlineStr"/>
      <c r="AJ11" t="inlineStr">
        <is>
          <t>Unknown</t>
        </is>
      </c>
      <c r="AK11" t="inlineStr"/>
      <c r="AL11" t="inlineStr"/>
      <c r="AM11" t="inlineStr"/>
      <c r="AN11" t="inlineStr">
        <is>
          <t>2026-07-10</t>
        </is>
      </c>
    </row>
    <row r="12">
      <c r="A12" t="inlineStr">
        <is>
          <t>LEAD-0011</t>
        </is>
      </c>
      <c r="B12" t="inlineStr">
        <is>
          <t>Dr. Nancy Gerges</t>
        </is>
      </c>
      <c r="C12" t="inlineStr">
        <is>
          <t>Dr.</t>
        </is>
      </c>
      <c r="D12" t="inlineStr"/>
      <c r="E12" t="inlineStr">
        <is>
          <t>Kinder- u. Jugendpsychiatrie (KFA)</t>
        </is>
      </c>
      <c r="F12" t="inlineStr"/>
      <c r="G12" t="inlineStr">
        <is>
          <t>Hetzendorfer Straße 52-54</t>
        </is>
      </c>
      <c r="H12" t="inlineStr">
        <is>
          <t>1120</t>
        </is>
      </c>
      <c r="I12" t="inlineStr">
        <is>
          <t>Wien</t>
        </is>
      </c>
      <c r="J12" t="inlineStr">
        <is>
          <t>12. Bezirk – Meidling</t>
        </is>
      </c>
      <c r="K12" t="inlineStr">
        <is>
          <t>+43 676 755 55 74</t>
        </is>
      </c>
      <c r="L12" t="inlineStr"/>
      <c r="M12" t="inlineStr"/>
      <c r="N12" t="inlineStr">
        <is>
          <t>https://www.praxisplan.at/10284/nancy-gerges/ordination/1</t>
        </is>
      </c>
      <c r="O12" t="inlineStr">
        <is>
          <t>https://www.praxisplan.at/suche?name=&amp;specialization=71&amp;zip=&amp;gender=&amp;diploma=&amp;specialty=&amp;insurance=&amp;vaccine=&amp;locale=</t>
        </is>
      </c>
      <c r="P12" t="inlineStr">
        <is>
          <t>Praxisplan</t>
        </is>
      </c>
      <c r="Q12" t="inlineStr"/>
      <c r="R12" t="inlineStr">
        <is>
          <t>Unknown</t>
        </is>
      </c>
      <c r="S12" t="inlineStr">
        <is>
          <t>3</t>
        </is>
      </c>
      <c r="T12" t="inlineStr">
        <is>
          <t>Public phone, vienna, high callback specialty</t>
        </is>
      </c>
      <c r="U12" t="inlineStr">
        <is>
          <t>Not contacted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No</t>
        </is>
      </c>
      <c r="AH12" t="inlineStr">
        <is>
          <t>No</t>
        </is>
      </c>
      <c r="AI12" t="inlineStr"/>
      <c r="AJ12" t="inlineStr">
        <is>
          <t>Unknown</t>
        </is>
      </c>
      <c r="AK12" t="inlineStr"/>
      <c r="AL12" t="inlineStr"/>
      <c r="AM12" t="inlineStr"/>
      <c r="AN12" t="inlineStr">
        <is>
          <t>2026-07-10</t>
        </is>
      </c>
    </row>
    <row r="13">
      <c r="A13" t="inlineStr">
        <is>
          <t>LEAD-0012</t>
        </is>
      </c>
      <c r="B13" t="inlineStr">
        <is>
          <t>Prim. Dr. Ralf Gössler</t>
        </is>
      </c>
      <c r="C13" t="inlineStr">
        <is>
          <t>Prim. Dr.</t>
        </is>
      </c>
      <c r="D13" t="inlineStr"/>
      <c r="E13" t="inlineStr">
        <is>
          <t>Kinder- u. Jugendpsychiatrie</t>
        </is>
      </c>
      <c r="F13" t="inlineStr"/>
      <c r="G13" t="inlineStr">
        <is>
          <t>Kohlmarkt 12/13</t>
        </is>
      </c>
      <c r="H13" t="inlineStr">
        <is>
          <t>1010</t>
        </is>
      </c>
      <c r="I13" t="inlineStr">
        <is>
          <t>Wien</t>
        </is>
      </c>
      <c r="J13" t="inlineStr">
        <is>
          <t>1. Bezirk – Innere Stadt</t>
        </is>
      </c>
      <c r="K13" t="inlineStr"/>
      <c r="L13" t="inlineStr"/>
      <c r="M13" t="inlineStr"/>
      <c r="N13" t="inlineStr">
        <is>
          <t>https://www.praxisplan.at/3200/ralf-gossler/ordination/1</t>
        </is>
      </c>
      <c r="O13" t="inlineStr">
        <is>
          <t>https://www.praxisplan.at/suche?name=&amp;specialization=71&amp;zip=&amp;gender=&amp;diploma=&amp;specialty=&amp;insurance=&amp;vaccine=&amp;locale=</t>
        </is>
      </c>
      <c r="P13" t="inlineStr">
        <is>
          <t>Praxisplan</t>
        </is>
      </c>
      <c r="Q13" t="inlineStr"/>
      <c r="R13" t="inlineStr">
        <is>
          <t>Unknown</t>
        </is>
      </c>
      <c r="S13" t="inlineStr">
        <is>
          <t>2</t>
        </is>
      </c>
      <c r="T13" t="inlineStr">
        <is>
          <t>Vienna, high callback specialty</t>
        </is>
      </c>
      <c r="U13" t="inlineStr">
        <is>
          <t>Not contacted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No</t>
        </is>
      </c>
      <c r="AH13" t="inlineStr">
        <is>
          <t>No</t>
        </is>
      </c>
      <c r="AI13" t="inlineStr"/>
      <c r="AJ13" t="inlineStr">
        <is>
          <t>Unknown</t>
        </is>
      </c>
      <c r="AK13" t="inlineStr"/>
      <c r="AL13" t="inlineStr"/>
      <c r="AM13" t="inlineStr"/>
      <c r="AN13" t="inlineStr">
        <is>
          <t>2026-07-10</t>
        </is>
      </c>
    </row>
    <row r="14">
      <c r="A14" t="inlineStr">
        <is>
          <t>LEAD-0013</t>
        </is>
      </c>
      <c r="B14" t="inlineStr">
        <is>
          <t>Dr. Theres Graf Bakk. BSc</t>
        </is>
      </c>
      <c r="C14" t="inlineStr">
        <is>
          <t>Dr.</t>
        </is>
      </c>
      <c r="D14" t="inlineStr"/>
      <c r="E14" t="inlineStr">
        <is>
          <t>Kinder- u. Jugendpsychiatrie u. Psychotherapeutische Medizin</t>
        </is>
      </c>
      <c r="F14" t="inlineStr"/>
      <c r="G14" t="inlineStr">
        <is>
          <t>Hirschengasse 10/2/17</t>
        </is>
      </c>
      <c r="H14" t="inlineStr">
        <is>
          <t>1060</t>
        </is>
      </c>
      <c r="I14" t="inlineStr">
        <is>
          <t>Wien</t>
        </is>
      </c>
      <c r="J14" t="inlineStr">
        <is>
          <t>6. Bezirk – Mariahilf</t>
        </is>
      </c>
      <c r="K14" t="inlineStr">
        <is>
          <t>+43 677 635 379 93</t>
        </is>
      </c>
      <c r="L14" t="inlineStr"/>
      <c r="M14" t="inlineStr"/>
      <c r="N14" t="inlineStr">
        <is>
          <t>https://www.praxisplan.at/11953/theres-graf-bakk-bsc/ordination/1</t>
        </is>
      </c>
      <c r="O14" t="inlineStr">
        <is>
          <t>https://www.praxisplan.at/suche?name=&amp;specialization=71&amp;zip=&amp;gender=&amp;diploma=&amp;specialty=&amp;insurance=&amp;vaccine=&amp;locale=</t>
        </is>
      </c>
      <c r="P14" t="inlineStr">
        <is>
          <t>Praxisplan</t>
        </is>
      </c>
      <c r="Q14" t="inlineStr"/>
      <c r="R14" t="inlineStr">
        <is>
          <t>Unknown</t>
        </is>
      </c>
      <c r="S14" t="inlineStr">
        <is>
          <t>3</t>
        </is>
      </c>
      <c r="T14" t="inlineStr">
        <is>
          <t>Public phone, vienna, high callback specialty</t>
        </is>
      </c>
      <c r="U14" t="inlineStr">
        <is>
          <t>Not contacted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No</t>
        </is>
      </c>
      <c r="AH14" t="inlineStr">
        <is>
          <t>No</t>
        </is>
      </c>
      <c r="AI14" t="inlineStr"/>
      <c r="AJ14" t="inlineStr">
        <is>
          <t>Unknown</t>
        </is>
      </c>
      <c r="AK14" t="inlineStr"/>
      <c r="AL14" t="inlineStr"/>
      <c r="AM14" t="inlineStr"/>
      <c r="AN14" t="inlineStr">
        <is>
          <t>2026-07-10</t>
        </is>
      </c>
    </row>
    <row r="15">
      <c r="A15" t="inlineStr">
        <is>
          <t>LEAD-0014</t>
        </is>
      </c>
      <c r="B15" t="inlineStr">
        <is>
          <t>Dr. Roland Graßl</t>
        </is>
      </c>
      <c r="C15" t="inlineStr">
        <is>
          <t>Dr.</t>
        </is>
      </c>
      <c r="D15" t="inlineStr"/>
      <c r="E15" t="inlineStr">
        <is>
          <t>Kinder- u. Jugendpsychiatrie u. Psychotherapeutische Medizin (KFA)</t>
        </is>
      </c>
      <c r="F15" t="inlineStr"/>
      <c r="G15" t="inlineStr">
        <is>
          <t>Rahlgasse 1/12</t>
        </is>
      </c>
      <c r="H15" t="inlineStr">
        <is>
          <t>1060</t>
        </is>
      </c>
      <c r="I15" t="inlineStr">
        <is>
          <t>Wien</t>
        </is>
      </c>
      <c r="J15" t="inlineStr">
        <is>
          <t>6. Bezirk – Mariahilf</t>
        </is>
      </c>
      <c r="K15" t="inlineStr">
        <is>
          <t>+43 1 587 00 03</t>
        </is>
      </c>
      <c r="L15" t="inlineStr"/>
      <c r="M15" t="inlineStr"/>
      <c r="N15" t="inlineStr">
        <is>
          <t>https://www.praxisplan.at/7325/roland-grassl/ordination/1</t>
        </is>
      </c>
      <c r="O15" t="inlineStr">
        <is>
          <t>https://www.praxisplan.at/suche?name=&amp;specialization=71&amp;zip=&amp;gender=&amp;diploma=&amp;specialty=&amp;insurance=&amp;vaccine=&amp;locale=</t>
        </is>
      </c>
      <c r="P15" t="inlineStr">
        <is>
          <t>Praxisplan</t>
        </is>
      </c>
      <c r="Q15" t="inlineStr"/>
      <c r="R15" t="inlineStr">
        <is>
          <t>Unknown</t>
        </is>
      </c>
      <c r="S15" t="inlineStr">
        <is>
          <t>3</t>
        </is>
      </c>
      <c r="T15" t="inlineStr">
        <is>
          <t>Public phone, vienna, high callback specialty</t>
        </is>
      </c>
      <c r="U15" t="inlineStr">
        <is>
          <t>Not contacted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No</t>
        </is>
      </c>
      <c r="AH15" t="inlineStr">
        <is>
          <t>No</t>
        </is>
      </c>
      <c r="AI15" t="inlineStr"/>
      <c r="AJ15" t="inlineStr">
        <is>
          <t>Unknown</t>
        </is>
      </c>
      <c r="AK15" t="inlineStr"/>
      <c r="AL15" t="inlineStr"/>
      <c r="AM15" t="inlineStr"/>
      <c r="AN15" t="inlineStr">
        <is>
          <t>2026-07-10</t>
        </is>
      </c>
    </row>
    <row r="16">
      <c r="A16" t="inlineStr">
        <is>
          <t>LEAD-0015</t>
        </is>
      </c>
      <c r="B16" t="inlineStr">
        <is>
          <t>Dr. Brigitte Hackenberg</t>
        </is>
      </c>
      <c r="C16" t="inlineStr">
        <is>
          <t>Dr.</t>
        </is>
      </c>
      <c r="D16" t="inlineStr"/>
      <c r="E16" t="inlineStr">
        <is>
          <t>Kinder- u. Jugendpsychiatrie</t>
        </is>
      </c>
      <c r="F16" t="inlineStr"/>
      <c r="G16" t="inlineStr">
        <is>
          <t>Geweygasse 4A/1/9</t>
        </is>
      </c>
      <c r="H16" t="inlineStr">
        <is>
          <t>1190</t>
        </is>
      </c>
      <c r="I16" t="inlineStr">
        <is>
          <t>Wien</t>
        </is>
      </c>
      <c r="J16" t="inlineStr">
        <is>
          <t>19. Bezirk – Döbling</t>
        </is>
      </c>
      <c r="K16" t="inlineStr">
        <is>
          <t>+43 676 604 97 90</t>
        </is>
      </c>
      <c r="L16" t="inlineStr"/>
      <c r="M16" t="inlineStr"/>
      <c r="N16" t="inlineStr">
        <is>
          <t>https://www.praxisplan.at/72/brigitte-hackenberg/ordination/2</t>
        </is>
      </c>
      <c r="O16" t="inlineStr">
        <is>
          <t>https://www.praxisplan.at/suche?name=&amp;specialization=71&amp;zip=&amp;gender=&amp;diploma=&amp;specialty=&amp;insurance=&amp;vaccine=&amp;locale=</t>
        </is>
      </c>
      <c r="P16" t="inlineStr">
        <is>
          <t>Praxisplan</t>
        </is>
      </c>
      <c r="Q16" t="inlineStr"/>
      <c r="R16" t="inlineStr">
        <is>
          <t>Unknown</t>
        </is>
      </c>
      <c r="S16" t="inlineStr">
        <is>
          <t>3</t>
        </is>
      </c>
      <c r="T16" t="inlineStr">
        <is>
          <t>Public phone, vienna, high callback specialty</t>
        </is>
      </c>
      <c r="U16" t="inlineStr">
        <is>
          <t>Not contacted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No</t>
        </is>
      </c>
      <c r="AH16" t="inlineStr">
        <is>
          <t>No</t>
        </is>
      </c>
      <c r="AI16" t="inlineStr"/>
      <c r="AJ16" t="inlineStr">
        <is>
          <t>Unknown</t>
        </is>
      </c>
      <c r="AK16" t="inlineStr"/>
      <c r="AL16" t="inlineStr"/>
      <c r="AM16" t="inlineStr"/>
      <c r="AN16" t="inlineStr">
        <is>
          <t>2026-07-10</t>
        </is>
      </c>
    </row>
    <row r="17">
      <c r="A17" t="inlineStr">
        <is>
          <t>LEAD-0016</t>
        </is>
      </c>
      <c r="B17" t="inlineStr">
        <is>
          <t>Dr. Ulrike Hartauer</t>
        </is>
      </c>
      <c r="C17" t="inlineStr">
        <is>
          <t>Dr.</t>
        </is>
      </c>
      <c r="D17" t="inlineStr"/>
      <c r="E17" t="inlineStr">
        <is>
          <t>Kinder- u. Jugendpsychiatrie</t>
        </is>
      </c>
      <c r="F17" t="inlineStr"/>
      <c r="G17" t="inlineStr">
        <is>
          <t>Rauchgasse 43/7</t>
        </is>
      </c>
      <c r="H17" t="inlineStr">
        <is>
          <t>1120</t>
        </is>
      </c>
      <c r="I17" t="inlineStr">
        <is>
          <t>Wien</t>
        </is>
      </c>
      <c r="J17" t="inlineStr">
        <is>
          <t>12. Bezirk – Meidling</t>
        </is>
      </c>
      <c r="K17" t="inlineStr">
        <is>
          <t>+43 677 615 848 82</t>
        </is>
      </c>
      <c r="L17" t="inlineStr"/>
      <c r="M17" t="inlineStr"/>
      <c r="N17" t="inlineStr">
        <is>
          <t>https://www.praxisplan.at/7065/ulrike-hartauer/ordination/2</t>
        </is>
      </c>
      <c r="O17" t="inlineStr">
        <is>
          <t>https://www.praxisplan.at/suche?name=&amp;specialization=71&amp;zip=&amp;gender=&amp;diploma=&amp;specialty=&amp;insurance=&amp;vaccine=&amp;locale=</t>
        </is>
      </c>
      <c r="P17" t="inlineStr">
        <is>
          <t>Praxisplan</t>
        </is>
      </c>
      <c r="Q17" t="inlineStr"/>
      <c r="R17" t="inlineStr">
        <is>
          <t>Unknown</t>
        </is>
      </c>
      <c r="S17" t="inlineStr">
        <is>
          <t>3</t>
        </is>
      </c>
      <c r="T17" t="inlineStr">
        <is>
          <t>Public phone, vienna, high callback specialty</t>
        </is>
      </c>
      <c r="U17" t="inlineStr">
        <is>
          <t>Not contacted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No</t>
        </is>
      </c>
      <c r="AH17" t="inlineStr">
        <is>
          <t>No</t>
        </is>
      </c>
      <c r="AI17" t="inlineStr"/>
      <c r="AJ17" t="inlineStr">
        <is>
          <t>Unknown</t>
        </is>
      </c>
      <c r="AK17" t="inlineStr"/>
      <c r="AL17" t="inlineStr"/>
      <c r="AM17" t="inlineStr"/>
      <c r="AN17" t="inlineStr">
        <is>
          <t>2026-07-10</t>
        </is>
      </c>
    </row>
    <row r="18">
      <c r="A18" t="inlineStr">
        <is>
          <t>LEAD-0017</t>
        </is>
      </c>
      <c r="B18" t="inlineStr">
        <is>
          <t>Univ.Doz. Dr. Erwin Hauser</t>
        </is>
      </c>
      <c r="C18" t="inlineStr">
        <is>
          <t>Univ.Doz. Dr.</t>
        </is>
      </c>
      <c r="D18" t="inlineStr"/>
      <c r="E18" t="inlineStr">
        <is>
          <t>Kinder- u. Jugendpsychiatrie (alle Kassen)</t>
        </is>
      </c>
      <c r="F18" t="inlineStr"/>
      <c r="G18" t="inlineStr">
        <is>
          <t>vom 14.07.</t>
        </is>
      </c>
      <c r="H18" t="inlineStr">
        <is>
          <t>2026</t>
        </is>
      </c>
      <c r="I18" t="inlineStr">
        <is>
          <t>bis 25.07.2026 im Urlaub</t>
        </is>
      </c>
      <c r="J18" t="inlineStr"/>
      <c r="K18" t="inlineStr">
        <is>
          <t>+43 664 528 06 29</t>
        </is>
      </c>
      <c r="L18" t="inlineStr"/>
      <c r="M18" t="inlineStr"/>
      <c r="N18" t="inlineStr">
        <is>
          <t>https://www.praxisplan.at/15080/erwin-hauser/ordination/1</t>
        </is>
      </c>
      <c r="O18" t="inlineStr">
        <is>
          <t>https://www.praxisplan.at/suche?name=&amp;specialization=71&amp;zip=&amp;gender=&amp;diploma=&amp;specialty=&amp;insurance=&amp;vaccine=&amp;locale=</t>
        </is>
      </c>
      <c r="P18" t="inlineStr">
        <is>
          <t>Praxisplan</t>
        </is>
      </c>
      <c r="Q18" t="inlineStr"/>
      <c r="R18" t="inlineStr">
        <is>
          <t>Unknown</t>
        </is>
      </c>
      <c r="S18" t="inlineStr">
        <is>
          <t>2</t>
        </is>
      </c>
      <c r="T18" t="inlineStr">
        <is>
          <t>Public phone, high callback specialty</t>
        </is>
      </c>
      <c r="U18" t="inlineStr">
        <is>
          <t>Not contacted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No</t>
        </is>
      </c>
      <c r="AH18" t="inlineStr">
        <is>
          <t>No</t>
        </is>
      </c>
      <c r="AI18" t="inlineStr"/>
      <c r="AJ18" t="inlineStr">
        <is>
          <t>Unknown</t>
        </is>
      </c>
      <c r="AK18" t="inlineStr"/>
      <c r="AL18" t="inlineStr"/>
      <c r="AM18" t="inlineStr"/>
      <c r="AN18" t="inlineStr">
        <is>
          <t>2026-07-10</t>
        </is>
      </c>
    </row>
    <row r="19">
      <c r="A19" t="inlineStr">
        <is>
          <t>LEAD-0018</t>
        </is>
      </c>
      <c r="B19" t="inlineStr">
        <is>
          <t>Dr. Christine Barbara Herzig</t>
        </is>
      </c>
      <c r="C19" t="inlineStr">
        <is>
          <t>Dr.</t>
        </is>
      </c>
      <c r="D19" t="inlineStr"/>
      <c r="E19" t="inlineStr">
        <is>
          <t>Kinder- u. Jugendpsychiatrie u. Psychotherapeutische Medizin</t>
        </is>
      </c>
      <c r="F19" t="inlineStr"/>
      <c r="G19" t="inlineStr">
        <is>
          <t>Scherpegasse 8/6/3</t>
        </is>
      </c>
      <c r="H19" t="inlineStr">
        <is>
          <t>1190</t>
        </is>
      </c>
      <c r="I19" t="inlineStr">
        <is>
          <t>Wien</t>
        </is>
      </c>
      <c r="J19" t="inlineStr">
        <is>
          <t>19. Bezirk – Döbling</t>
        </is>
      </c>
      <c r="K19" t="inlineStr">
        <is>
          <t>+43 664 736 722 90</t>
        </is>
      </c>
      <c r="L19" t="inlineStr"/>
      <c r="M19" t="inlineStr"/>
      <c r="N19" t="inlineStr">
        <is>
          <t>https://www.praxisplan.at/6197/christine-barbara-herzig/ordination/2</t>
        </is>
      </c>
      <c r="O19" t="inlineStr">
        <is>
          <t>https://www.praxisplan.at/suche?name=&amp;specialization=71&amp;zip=&amp;gender=&amp;diploma=&amp;specialty=&amp;insurance=&amp;vaccine=&amp;locale=</t>
        </is>
      </c>
      <c r="P19" t="inlineStr">
        <is>
          <t>Praxisplan</t>
        </is>
      </c>
      <c r="Q19" t="inlineStr"/>
      <c r="R19" t="inlineStr">
        <is>
          <t>Unknown</t>
        </is>
      </c>
      <c r="S19" t="inlineStr">
        <is>
          <t>3</t>
        </is>
      </c>
      <c r="T19" t="inlineStr">
        <is>
          <t>Public phone, vienna, high callback specialty</t>
        </is>
      </c>
      <c r="U19" t="inlineStr">
        <is>
          <t>Not contacted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No</t>
        </is>
      </c>
      <c r="AH19" t="inlineStr">
        <is>
          <t>No</t>
        </is>
      </c>
      <c r="AI19" t="inlineStr"/>
      <c r="AJ19" t="inlineStr">
        <is>
          <t>Unknown</t>
        </is>
      </c>
      <c r="AK19" t="inlineStr"/>
      <c r="AL19" t="inlineStr"/>
      <c r="AM19" t="inlineStr"/>
      <c r="AN19" t="inlineStr">
        <is>
          <t>2026-07-10</t>
        </is>
      </c>
    </row>
    <row r="20">
      <c r="A20" t="inlineStr">
        <is>
          <t>LEAD-0019</t>
        </is>
      </c>
      <c r="B20" t="inlineStr">
        <is>
          <t>Dr. Barbara Hess MSc</t>
        </is>
      </c>
      <c r="C20" t="inlineStr">
        <is>
          <t>Dr.</t>
        </is>
      </c>
      <c r="D20" t="inlineStr"/>
      <c r="E20" t="inlineStr">
        <is>
          <t>Kinder- u. Jugendpsychiatrie</t>
        </is>
      </c>
      <c r="F20" t="inlineStr"/>
      <c r="G20" t="inlineStr">
        <is>
          <t>Eipeldauer Straße 40/Stg.49/2</t>
        </is>
      </c>
      <c r="H20" t="inlineStr">
        <is>
          <t>1220</t>
        </is>
      </c>
      <c r="I20" t="inlineStr">
        <is>
          <t>Wien</t>
        </is>
      </c>
      <c r="J20" t="inlineStr">
        <is>
          <t>22. Bezirk – Donaustadt</t>
        </is>
      </c>
      <c r="K20" t="inlineStr"/>
      <c r="L20" t="inlineStr"/>
      <c r="M20" t="inlineStr"/>
      <c r="N20" t="inlineStr">
        <is>
          <t>https://www.praxisplan.at/4916/barbara-hess-msc/ordination/1</t>
        </is>
      </c>
      <c r="O20" t="inlineStr">
        <is>
          <t>https://www.praxisplan.at/suche?name=&amp;specialization=71&amp;zip=&amp;gender=&amp;diploma=&amp;specialty=&amp;insurance=&amp;vaccine=&amp;locale=</t>
        </is>
      </c>
      <c r="P20" t="inlineStr">
        <is>
          <t>Praxisplan</t>
        </is>
      </c>
      <c r="Q20" t="inlineStr"/>
      <c r="R20" t="inlineStr">
        <is>
          <t>Unknown</t>
        </is>
      </c>
      <c r="S20" t="inlineStr">
        <is>
          <t>2</t>
        </is>
      </c>
      <c r="T20" t="inlineStr">
        <is>
          <t>Vienna, high callback specialty</t>
        </is>
      </c>
      <c r="U20" t="inlineStr">
        <is>
          <t>Not contacted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No</t>
        </is>
      </c>
      <c r="AH20" t="inlineStr">
        <is>
          <t>No</t>
        </is>
      </c>
      <c r="AI20" t="inlineStr"/>
      <c r="AJ20" t="inlineStr">
        <is>
          <t>Unknown</t>
        </is>
      </c>
      <c r="AK20" t="inlineStr"/>
      <c r="AL20" t="inlineStr"/>
      <c r="AM20" t="inlineStr"/>
      <c r="AN20" t="inlineStr">
        <is>
          <t>2026-07-10</t>
        </is>
      </c>
    </row>
    <row r="21">
      <c r="A21" t="inlineStr">
        <is>
          <t>LEAD-0020</t>
        </is>
      </c>
      <c r="B21" t="inlineStr">
        <is>
          <t>Dr. Johanna Hofkirchner</t>
        </is>
      </c>
      <c r="C21" t="inlineStr">
        <is>
          <t>Dr.</t>
        </is>
      </c>
      <c r="D21" t="inlineStr"/>
      <c r="E21" t="inlineStr">
        <is>
          <t>Kinder- u. Jugendpsychiatrie u. Psychotherapeutische Medizin</t>
        </is>
      </c>
      <c r="F21" t="inlineStr"/>
      <c r="G21" t="inlineStr">
        <is>
          <t>Mühlweg 13/6</t>
        </is>
      </c>
      <c r="H21" t="inlineStr">
        <is>
          <t>1210</t>
        </is>
      </c>
      <c r="I21" t="inlineStr">
        <is>
          <t>Wien</t>
        </is>
      </c>
      <c r="J21" t="inlineStr">
        <is>
          <t>21. Bezirk – Floridsdorf</t>
        </is>
      </c>
      <c r="K21" t="inlineStr">
        <is>
          <t>+43 676 911 90 02</t>
        </is>
      </c>
      <c r="L21" t="inlineStr"/>
      <c r="M21" t="inlineStr"/>
      <c r="N21" t="inlineStr">
        <is>
          <t>https://www.praxisplan.at/19115/johanna-hofkirchner/ordination/1</t>
        </is>
      </c>
      <c r="O21" t="inlineStr">
        <is>
          <t>https://www.praxisplan.at/suche?name=&amp;specialization=71&amp;zip=&amp;gender=&amp;diploma=&amp;specialty=&amp;insurance=&amp;vaccine=&amp;locale=</t>
        </is>
      </c>
      <c r="P21" t="inlineStr">
        <is>
          <t>Praxisplan</t>
        </is>
      </c>
      <c r="Q21" t="inlineStr"/>
      <c r="R21" t="inlineStr">
        <is>
          <t>Unknown</t>
        </is>
      </c>
      <c r="S21" t="inlineStr">
        <is>
          <t>3</t>
        </is>
      </c>
      <c r="T21" t="inlineStr">
        <is>
          <t>Public phone, vienna, high callback specialty</t>
        </is>
      </c>
      <c r="U21" t="inlineStr">
        <is>
          <t>Not contacted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No</t>
        </is>
      </c>
      <c r="AH21" t="inlineStr">
        <is>
          <t>No</t>
        </is>
      </c>
      <c r="AI21" t="inlineStr"/>
      <c r="AJ21" t="inlineStr">
        <is>
          <t>Unknown</t>
        </is>
      </c>
      <c r="AK21" t="inlineStr"/>
      <c r="AL21" t="inlineStr"/>
      <c r="AM21" t="inlineStr"/>
      <c r="AN21" t="inlineStr">
        <is>
          <t>2026-07-10</t>
        </is>
      </c>
    </row>
    <row r="22">
      <c r="A22" t="inlineStr">
        <is>
          <t>LEAD-0021</t>
        </is>
      </c>
      <c r="B22" t="inlineStr">
        <is>
          <t>Dr. Magdalena Iwanowytsch</t>
        </is>
      </c>
      <c r="C22" t="inlineStr">
        <is>
          <t>Dr.</t>
        </is>
      </c>
      <c r="D22" t="inlineStr"/>
      <c r="E22" t="inlineStr">
        <is>
          <t>Kinder- u. Jugendpsychiatrie</t>
        </is>
      </c>
      <c r="F22" t="inlineStr"/>
      <c r="G22" t="inlineStr">
        <is>
          <t>Alser Straße 71/6</t>
        </is>
      </c>
      <c r="H22" t="inlineStr">
        <is>
          <t>1080</t>
        </is>
      </c>
      <c r="I22" t="inlineStr">
        <is>
          <t>Wien</t>
        </is>
      </c>
      <c r="J22" t="inlineStr">
        <is>
          <t>8. Bezirk – Josefstadt</t>
        </is>
      </c>
      <c r="K22" t="inlineStr">
        <is>
          <t>+43 1 411 94 07</t>
        </is>
      </c>
      <c r="L22" t="inlineStr"/>
      <c r="M22" t="inlineStr"/>
      <c r="N22" t="inlineStr">
        <is>
          <t>https://www.praxisplan.at/8673/magdalena-iwanowytsch/ordination/1</t>
        </is>
      </c>
      <c r="O22" t="inlineStr">
        <is>
          <t>https://www.praxisplan.at/suche?name=&amp;specialization=71&amp;zip=&amp;gender=&amp;diploma=&amp;specialty=&amp;insurance=&amp;vaccine=&amp;locale=</t>
        </is>
      </c>
      <c r="P22" t="inlineStr">
        <is>
          <t>Praxisplan</t>
        </is>
      </c>
      <c r="Q22" t="inlineStr"/>
      <c r="R22" t="inlineStr">
        <is>
          <t>Unknown</t>
        </is>
      </c>
      <c r="S22" t="inlineStr">
        <is>
          <t>3</t>
        </is>
      </c>
      <c r="T22" t="inlineStr">
        <is>
          <t>Public phone, vienna, high callback specialty</t>
        </is>
      </c>
      <c r="U22" t="inlineStr">
        <is>
          <t>Not contacted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No</t>
        </is>
      </c>
      <c r="AH22" t="inlineStr">
        <is>
          <t>No</t>
        </is>
      </c>
      <c r="AI22" t="inlineStr"/>
      <c r="AJ22" t="inlineStr">
        <is>
          <t>Unknown</t>
        </is>
      </c>
      <c r="AK22" t="inlineStr"/>
      <c r="AL22" t="inlineStr"/>
      <c r="AM22" t="inlineStr"/>
      <c r="AN22" t="inlineStr">
        <is>
          <t>2026-07-10</t>
        </is>
      </c>
    </row>
    <row r="23">
      <c r="A23" t="inlineStr">
        <is>
          <t>LEAD-0022</t>
        </is>
      </c>
      <c r="B23" t="inlineStr">
        <is>
          <t>Dr. Vlasios Kappos MSc</t>
        </is>
      </c>
      <c r="C23" t="inlineStr">
        <is>
          <t>Dr.</t>
        </is>
      </c>
      <c r="D23" t="inlineStr"/>
      <c r="E23" t="inlineStr">
        <is>
          <t>Kinder- u. Jugendpsychiatrie u. Psychotherapeutische Medizin</t>
        </is>
      </c>
      <c r="F23" t="inlineStr"/>
      <c r="G23" t="inlineStr">
        <is>
          <t>Pülslgasse 19/9</t>
        </is>
      </c>
      <c r="H23" t="inlineStr">
        <is>
          <t>1230</t>
        </is>
      </c>
      <c r="I23" t="inlineStr">
        <is>
          <t>Wien</t>
        </is>
      </c>
      <c r="J23" t="inlineStr">
        <is>
          <t>23. Bezirk – Liesing</t>
        </is>
      </c>
      <c r="K23" t="inlineStr">
        <is>
          <t>+43 650 621 20 32</t>
        </is>
      </c>
      <c r="L23" t="inlineStr"/>
      <c r="M23" t="inlineStr"/>
      <c r="N23" t="inlineStr">
        <is>
          <t>https://www.praxisplan.at/5755/vlasios-kappos-msc/ordination/4</t>
        </is>
      </c>
      <c r="O23" t="inlineStr">
        <is>
          <t>https://www.praxisplan.at/suche?name=&amp;specialization=71&amp;zip=&amp;gender=&amp;diploma=&amp;specialty=&amp;insurance=&amp;vaccine=&amp;locale=</t>
        </is>
      </c>
      <c r="P23" t="inlineStr">
        <is>
          <t>Praxisplan</t>
        </is>
      </c>
      <c r="Q23" t="inlineStr"/>
      <c r="R23" t="inlineStr">
        <is>
          <t>Unknown</t>
        </is>
      </c>
      <c r="S23" t="inlineStr">
        <is>
          <t>3</t>
        </is>
      </c>
      <c r="T23" t="inlineStr">
        <is>
          <t>Public phone, vienna, high callback specialty</t>
        </is>
      </c>
      <c r="U23" t="inlineStr">
        <is>
          <t>Not contacted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No</t>
        </is>
      </c>
      <c r="AH23" t="inlineStr">
        <is>
          <t>No</t>
        </is>
      </c>
      <c r="AI23" t="inlineStr"/>
      <c r="AJ23" t="inlineStr">
        <is>
          <t>Unknown</t>
        </is>
      </c>
      <c r="AK23" t="inlineStr"/>
      <c r="AL23" t="inlineStr"/>
      <c r="AM23" t="inlineStr"/>
      <c r="AN23" t="inlineStr">
        <is>
          <t>2026-07-10</t>
        </is>
      </c>
    </row>
    <row r="24">
      <c r="A24" t="inlineStr">
        <is>
          <t>LEAD-0023</t>
        </is>
      </c>
      <c r="B24" t="inlineStr">
        <is>
          <t>Dr. Christian Kienbacher</t>
        </is>
      </c>
      <c r="C24" t="inlineStr">
        <is>
          <t>Dr.</t>
        </is>
      </c>
      <c r="D24" t="inlineStr"/>
      <c r="E24" t="inlineStr">
        <is>
          <t>Kinder- u. Jugendpsychiatrie</t>
        </is>
      </c>
      <c r="F24" t="inlineStr"/>
      <c r="G24" t="inlineStr">
        <is>
          <t>Leystraße 43/1/2</t>
        </is>
      </c>
      <c r="H24" t="inlineStr">
        <is>
          <t>1200</t>
        </is>
      </c>
      <c r="I24" t="inlineStr">
        <is>
          <t>Wien</t>
        </is>
      </c>
      <c r="J24" t="inlineStr">
        <is>
          <t>20. Bezirk – Brigittenau</t>
        </is>
      </c>
      <c r="K24" t="inlineStr">
        <is>
          <t>+43 670 181 90 01</t>
        </is>
      </c>
      <c r="L24" t="inlineStr"/>
      <c r="M24" t="inlineStr"/>
      <c r="N24" t="inlineStr">
        <is>
          <t>https://www.praxisplan.at/5279/christian-kienbacher/ordination/1</t>
        </is>
      </c>
      <c r="O24" t="inlineStr">
        <is>
          <t>https://www.praxisplan.at/suche?name=&amp;specialization=71&amp;zip=&amp;gender=&amp;diploma=&amp;specialty=&amp;insurance=&amp;vaccine=&amp;locale=</t>
        </is>
      </c>
      <c r="P24" t="inlineStr">
        <is>
          <t>Praxisplan</t>
        </is>
      </c>
      <c r="Q24" t="inlineStr"/>
      <c r="R24" t="inlineStr">
        <is>
          <t>Unknown</t>
        </is>
      </c>
      <c r="S24" t="inlineStr">
        <is>
          <t>3</t>
        </is>
      </c>
      <c r="T24" t="inlineStr">
        <is>
          <t>Public phone, vienna, high callback specialty</t>
        </is>
      </c>
      <c r="U24" t="inlineStr">
        <is>
          <t>Not contacted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No</t>
        </is>
      </c>
      <c r="AH24" t="inlineStr">
        <is>
          <t>No</t>
        </is>
      </c>
      <c r="AI24" t="inlineStr"/>
      <c r="AJ24" t="inlineStr">
        <is>
          <t>Unknown</t>
        </is>
      </c>
      <c r="AK24" t="inlineStr"/>
      <c r="AL24" t="inlineStr"/>
      <c r="AM24" t="inlineStr"/>
      <c r="AN24" t="inlineStr">
        <is>
          <t>2026-07-10</t>
        </is>
      </c>
    </row>
    <row r="25">
      <c r="A25" t="inlineStr">
        <is>
          <t>LEAD-0024</t>
        </is>
      </c>
      <c r="B25" t="inlineStr">
        <is>
          <t>Univ.Prof. Priv.Doz. Dr. Claudia Klier</t>
        </is>
      </c>
      <c r="C25" t="inlineStr">
        <is>
          <t>Univ.Prof.</t>
        </is>
      </c>
      <c r="D25" t="inlineStr"/>
      <c r="E25" t="inlineStr">
        <is>
          <t>Kinder- u. Jugendpsychiatrie</t>
        </is>
      </c>
      <c r="F25" t="inlineStr"/>
      <c r="G25" t="inlineStr">
        <is>
          <t>Brahmsplatz 7/8</t>
        </is>
      </c>
      <c r="H25" t="inlineStr">
        <is>
          <t>1040</t>
        </is>
      </c>
      <c r="I25" t="inlineStr">
        <is>
          <t>Wien</t>
        </is>
      </c>
      <c r="J25" t="inlineStr">
        <is>
          <t>4. Bezirk – Wieden</t>
        </is>
      </c>
      <c r="K25" t="inlineStr"/>
      <c r="L25" t="inlineStr"/>
      <c r="M25" t="inlineStr"/>
      <c r="N25" t="inlineStr">
        <is>
          <t>https://www.praxisplan.at/3196/claudia-klier/ordination/1</t>
        </is>
      </c>
      <c r="O25" t="inlineStr">
        <is>
          <t>https://www.praxisplan.at/suche?name=&amp;specialization=71&amp;zip=&amp;gender=&amp;diploma=&amp;specialty=&amp;insurance=&amp;vaccine=&amp;locale=</t>
        </is>
      </c>
      <c r="P25" t="inlineStr">
        <is>
          <t>Praxisplan</t>
        </is>
      </c>
      <c r="Q25" t="inlineStr"/>
      <c r="R25" t="inlineStr">
        <is>
          <t>Unknown</t>
        </is>
      </c>
      <c r="S25" t="inlineStr">
        <is>
          <t>2</t>
        </is>
      </c>
      <c r="T25" t="inlineStr">
        <is>
          <t>Vienna, high callback specialty</t>
        </is>
      </c>
      <c r="U25" t="inlineStr">
        <is>
          <t>Not contacted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No</t>
        </is>
      </c>
      <c r="AH25" t="inlineStr">
        <is>
          <t>No</t>
        </is>
      </c>
      <c r="AI25" t="inlineStr"/>
      <c r="AJ25" t="inlineStr">
        <is>
          <t>Unknown</t>
        </is>
      </c>
      <c r="AK25" t="inlineStr"/>
      <c r="AL25" t="inlineStr"/>
      <c r="AM25" t="inlineStr"/>
      <c r="AN25" t="inlineStr">
        <is>
          <t>2026-07-10</t>
        </is>
      </c>
    </row>
    <row r="26">
      <c r="A26" t="inlineStr">
        <is>
          <t>LEAD-0025</t>
        </is>
      </c>
      <c r="B26" t="inlineStr">
        <is>
          <t>Dr. Ursula Kogelbauer</t>
        </is>
      </c>
      <c r="C26" t="inlineStr">
        <is>
          <t>Dr.</t>
        </is>
      </c>
      <c r="D26" t="inlineStr"/>
      <c r="E26" t="inlineStr">
        <is>
          <t>Kinder- u. Jugendpsychiatrie u. Psychotherapeutische Medizin</t>
        </is>
      </c>
      <c r="F26" t="inlineStr"/>
      <c r="G26" t="inlineStr">
        <is>
          <t>Gießergasse 6/19</t>
        </is>
      </c>
      <c r="H26" t="inlineStr">
        <is>
          <t>1090</t>
        </is>
      </c>
      <c r="I26" t="inlineStr">
        <is>
          <t>Wien</t>
        </is>
      </c>
      <c r="J26" t="inlineStr">
        <is>
          <t>9. Bezirk – Alsergrund</t>
        </is>
      </c>
      <c r="K26" t="inlineStr">
        <is>
          <t>+43 699 100 724 92</t>
        </is>
      </c>
      <c r="L26" t="inlineStr"/>
      <c r="M26" t="inlineStr"/>
      <c r="N26" t="inlineStr">
        <is>
          <t>https://www.praxisplan.at/13708/ursula-kogelbauer/ordination/1</t>
        </is>
      </c>
      <c r="O26" t="inlineStr">
        <is>
          <t>https://www.praxisplan.at/suche?name=&amp;specialization=71&amp;zip=&amp;gender=&amp;diploma=&amp;specialty=&amp;insurance=&amp;vaccine=&amp;locale=</t>
        </is>
      </c>
      <c r="P26" t="inlineStr">
        <is>
          <t>Praxisplan</t>
        </is>
      </c>
      <c r="Q26" t="inlineStr"/>
      <c r="R26" t="inlineStr">
        <is>
          <t>Unknown</t>
        </is>
      </c>
      <c r="S26" t="inlineStr">
        <is>
          <t>3</t>
        </is>
      </c>
      <c r="T26" t="inlineStr">
        <is>
          <t>Public phone, vienna, high callback specialty</t>
        </is>
      </c>
      <c r="U26" t="inlineStr">
        <is>
          <t>Not contacted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No</t>
        </is>
      </c>
      <c r="AH26" t="inlineStr">
        <is>
          <t>No</t>
        </is>
      </c>
      <c r="AI26" t="inlineStr"/>
      <c r="AJ26" t="inlineStr">
        <is>
          <t>Unknown</t>
        </is>
      </c>
      <c r="AK26" t="inlineStr"/>
      <c r="AL26" t="inlineStr"/>
      <c r="AM26" t="inlineStr"/>
      <c r="AN26" t="inlineStr">
        <is>
          <t>2026-07-10</t>
        </is>
      </c>
    </row>
    <row r="27">
      <c r="A27" t="inlineStr">
        <is>
          <t>LEAD-0026</t>
        </is>
      </c>
      <c r="B27" t="inlineStr">
        <is>
          <t>Dr. David Koller</t>
        </is>
      </c>
      <c r="C27" t="inlineStr">
        <is>
          <t>Dr.</t>
        </is>
      </c>
      <c r="D27" t="inlineStr"/>
      <c r="E27" t="inlineStr">
        <is>
          <t>Kinder- u. Jugendpsychiatrie</t>
        </is>
      </c>
      <c r="F27" t="inlineStr"/>
      <c r="G27" t="inlineStr">
        <is>
          <t>Kollburggasse 15/7</t>
        </is>
      </c>
      <c r="H27" t="inlineStr">
        <is>
          <t>1160</t>
        </is>
      </c>
      <c r="I27" t="inlineStr">
        <is>
          <t>Wien</t>
        </is>
      </c>
      <c r="J27" t="inlineStr">
        <is>
          <t>16. Bezirk – Ottakring</t>
        </is>
      </c>
      <c r="K27" t="inlineStr">
        <is>
          <t>+43 664 475 72 76</t>
        </is>
      </c>
      <c r="L27" t="inlineStr"/>
      <c r="M27" t="inlineStr"/>
      <c r="N27" t="inlineStr">
        <is>
          <t>https://www.praxisplan.at/13880/david-koller/ordination/1</t>
        </is>
      </c>
      <c r="O27" t="inlineStr">
        <is>
          <t>https://www.praxisplan.at/suche?name=&amp;specialization=71&amp;zip=&amp;gender=&amp;diploma=&amp;specialty=&amp;insurance=&amp;vaccine=&amp;locale=</t>
        </is>
      </c>
      <c r="P27" t="inlineStr">
        <is>
          <t>Praxisplan</t>
        </is>
      </c>
      <c r="Q27" t="inlineStr"/>
      <c r="R27" t="inlineStr">
        <is>
          <t>Unknown</t>
        </is>
      </c>
      <c r="S27" t="inlineStr">
        <is>
          <t>3</t>
        </is>
      </c>
      <c r="T27" t="inlineStr">
        <is>
          <t>Public phone, vienna, high callback specialty</t>
        </is>
      </c>
      <c r="U27" t="inlineStr">
        <is>
          <t>Not contacted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No</t>
        </is>
      </c>
      <c r="AH27" t="inlineStr">
        <is>
          <t>No</t>
        </is>
      </c>
      <c r="AI27" t="inlineStr"/>
      <c r="AJ27" t="inlineStr">
        <is>
          <t>Unknown</t>
        </is>
      </c>
      <c r="AK27" t="inlineStr"/>
      <c r="AL27" t="inlineStr"/>
      <c r="AM27" t="inlineStr"/>
      <c r="AN27" t="inlineStr">
        <is>
          <t>2026-07-10</t>
        </is>
      </c>
    </row>
    <row r="28">
      <c r="A28" t="inlineStr">
        <is>
          <t>LEAD-0027</t>
        </is>
      </c>
      <c r="B28" t="inlineStr">
        <is>
          <t>Dr. Karin Koschitz</t>
        </is>
      </c>
      <c r="C28" t="inlineStr">
        <is>
          <t>Dr.</t>
        </is>
      </c>
      <c r="D28" t="inlineStr"/>
      <c r="E28" t="inlineStr">
        <is>
          <t>Kinder- u. Jugendpsychiatrie (alle Kassen)</t>
        </is>
      </c>
      <c r="F28" t="inlineStr"/>
      <c r="G28" t="inlineStr">
        <is>
          <t>wieder geöffnet am 13.07.</t>
        </is>
      </c>
      <c r="H28" t="inlineStr">
        <is>
          <t>2026</t>
        </is>
      </c>
      <c r="I28" t="inlineStr">
        <is>
          <t>: 14.00 - 19.00 Uhr</t>
        </is>
      </c>
      <c r="J28" t="inlineStr"/>
      <c r="K28" t="inlineStr">
        <is>
          <t>+43 1 388 00 22</t>
        </is>
      </c>
      <c r="L28" t="inlineStr"/>
      <c r="M28" t="inlineStr"/>
      <c r="N28" t="inlineStr">
        <is>
          <t>https://www.praxisplan.at/7286/karin-koschitz/ordination/1</t>
        </is>
      </c>
      <c r="O28" t="inlineStr">
        <is>
          <t>https://www.praxisplan.at/suche?name=&amp;specialization=71&amp;zip=&amp;gender=&amp;diploma=&amp;specialty=&amp;insurance=&amp;vaccine=&amp;locale=</t>
        </is>
      </c>
      <c r="P28" t="inlineStr">
        <is>
          <t>Praxisplan</t>
        </is>
      </c>
      <c r="Q28" t="inlineStr"/>
      <c r="R28" t="inlineStr">
        <is>
          <t>Unknown</t>
        </is>
      </c>
      <c r="S28" t="inlineStr">
        <is>
          <t>2</t>
        </is>
      </c>
      <c r="T28" t="inlineStr">
        <is>
          <t>Public phone, high callback specialty</t>
        </is>
      </c>
      <c r="U28" t="inlineStr">
        <is>
          <t>Not contacted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>
        <is>
          <t>No</t>
        </is>
      </c>
      <c r="AH28" t="inlineStr">
        <is>
          <t>No</t>
        </is>
      </c>
      <c r="AI28" t="inlineStr"/>
      <c r="AJ28" t="inlineStr">
        <is>
          <t>Unknown</t>
        </is>
      </c>
      <c r="AK28" t="inlineStr"/>
      <c r="AL28" t="inlineStr"/>
      <c r="AM28" t="inlineStr"/>
      <c r="AN28" t="inlineStr">
        <is>
          <t>2026-07-10</t>
        </is>
      </c>
    </row>
    <row r="29">
      <c r="A29" t="inlineStr">
        <is>
          <t>LEAD-0028</t>
        </is>
      </c>
      <c r="B29" t="inlineStr">
        <is>
          <t>Dr. Nicole Kriechbaumer</t>
        </is>
      </c>
      <c r="C29" t="inlineStr">
        <is>
          <t>Dr.</t>
        </is>
      </c>
      <c r="D29" t="inlineStr"/>
      <c r="E29" t="inlineStr">
        <is>
          <t>Kinder- u. Jugendpsychiatrie</t>
        </is>
      </c>
      <c r="F29" t="inlineStr"/>
      <c r="G29" t="inlineStr">
        <is>
          <t>Matznergasse 44/Top 16</t>
        </is>
      </c>
      <c r="H29" t="inlineStr">
        <is>
          <t>1140</t>
        </is>
      </c>
      <c r="I29" t="inlineStr">
        <is>
          <t>Wien</t>
        </is>
      </c>
      <c r="J29" t="inlineStr">
        <is>
          <t>14. Bezirk – Penzing</t>
        </is>
      </c>
      <c r="K29" t="inlineStr">
        <is>
          <t>+43 660 113 73 43</t>
        </is>
      </c>
      <c r="L29" t="inlineStr"/>
      <c r="M29" t="inlineStr"/>
      <c r="N29" t="inlineStr">
        <is>
          <t>https://www.praxisplan.at/4789/nicole-kriechbaumer/ordination/1</t>
        </is>
      </c>
      <c r="O29" t="inlineStr">
        <is>
          <t>https://www.praxisplan.at/suche?name=&amp;specialization=71&amp;zip=&amp;gender=&amp;diploma=&amp;specialty=&amp;insurance=&amp;vaccine=&amp;locale=</t>
        </is>
      </c>
      <c r="P29" t="inlineStr">
        <is>
          <t>Praxisplan</t>
        </is>
      </c>
      <c r="Q29" t="inlineStr"/>
      <c r="R29" t="inlineStr">
        <is>
          <t>Unknown</t>
        </is>
      </c>
      <c r="S29" t="inlineStr">
        <is>
          <t>3</t>
        </is>
      </c>
      <c r="T29" t="inlineStr">
        <is>
          <t>Public phone, vienna, high callback specialty</t>
        </is>
      </c>
      <c r="U29" t="inlineStr">
        <is>
          <t>Not contacted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>
        <is>
          <t>No</t>
        </is>
      </c>
      <c r="AH29" t="inlineStr">
        <is>
          <t>No</t>
        </is>
      </c>
      <c r="AI29" t="inlineStr"/>
      <c r="AJ29" t="inlineStr">
        <is>
          <t>Unknown</t>
        </is>
      </c>
      <c r="AK29" t="inlineStr"/>
      <c r="AL29" t="inlineStr"/>
      <c r="AM29" t="inlineStr"/>
      <c r="AN29" t="inlineStr">
        <is>
          <t>2026-07-10</t>
        </is>
      </c>
    </row>
    <row r="30">
      <c r="A30" t="inlineStr">
        <is>
          <t>LEAD-0029</t>
        </is>
      </c>
      <c r="B30" t="inlineStr">
        <is>
          <t>Dr. Helmut Krönke</t>
        </is>
      </c>
      <c r="C30" t="inlineStr">
        <is>
          <t>Dr.</t>
        </is>
      </c>
      <c r="D30" t="inlineStr"/>
      <c r="E30" t="inlineStr">
        <is>
          <t>Kinder- u. Jugendpsychiatrie</t>
        </is>
      </c>
      <c r="F30" t="inlineStr"/>
      <c r="G30" t="inlineStr">
        <is>
          <t>Alser Straße 71/6</t>
        </is>
      </c>
      <c r="H30" t="inlineStr">
        <is>
          <t>1080</t>
        </is>
      </c>
      <c r="I30" t="inlineStr">
        <is>
          <t>Wien</t>
        </is>
      </c>
      <c r="J30" t="inlineStr">
        <is>
          <t>8. Bezirk – Josefstadt</t>
        </is>
      </c>
      <c r="K30" t="inlineStr">
        <is>
          <t>+43 677 623 213 58</t>
        </is>
      </c>
      <c r="L30" t="inlineStr"/>
      <c r="M30" t="inlineStr"/>
      <c r="N30" t="inlineStr">
        <is>
          <t>https://www.praxisplan.at/8250/helmut-kronke/ordination/1</t>
        </is>
      </c>
      <c r="O30" t="inlineStr">
        <is>
          <t>https://www.praxisplan.at/suche?name=&amp;specialization=71&amp;zip=&amp;gender=&amp;diploma=&amp;specialty=&amp;insurance=&amp;vaccine=&amp;locale=</t>
        </is>
      </c>
      <c r="P30" t="inlineStr">
        <is>
          <t>Praxisplan</t>
        </is>
      </c>
      <c r="Q30" t="inlineStr"/>
      <c r="R30" t="inlineStr">
        <is>
          <t>Unknown</t>
        </is>
      </c>
      <c r="S30" t="inlineStr">
        <is>
          <t>3</t>
        </is>
      </c>
      <c r="T30" t="inlineStr">
        <is>
          <t>Public phone, vienna, high callback specialty</t>
        </is>
      </c>
      <c r="U30" t="inlineStr">
        <is>
          <t>Not contacted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No</t>
        </is>
      </c>
      <c r="AH30" t="inlineStr">
        <is>
          <t>No</t>
        </is>
      </c>
      <c r="AI30" t="inlineStr"/>
      <c r="AJ30" t="inlineStr">
        <is>
          <t>Unknown</t>
        </is>
      </c>
      <c r="AK30" t="inlineStr"/>
      <c r="AL30" t="inlineStr"/>
      <c r="AM30" t="inlineStr"/>
      <c r="AN30" t="inlineStr">
        <is>
          <t>2026-07-10</t>
        </is>
      </c>
    </row>
    <row r="31">
      <c r="A31" t="inlineStr">
        <is>
          <t>LEAD-0030</t>
        </is>
      </c>
      <c r="B31" t="inlineStr">
        <is>
          <t>Dr. Sofia Kuhn Natriashvili</t>
        </is>
      </c>
      <c r="C31" t="inlineStr">
        <is>
          <t>Dr.</t>
        </is>
      </c>
      <c r="D31" t="inlineStr"/>
      <c r="E31" t="inlineStr">
        <is>
          <t>Kinder- u. Jugendpsychiatrie</t>
        </is>
      </c>
      <c r="F31" t="inlineStr"/>
      <c r="G31" t="inlineStr">
        <is>
          <t>Stadiongasse 6-8/Top 10</t>
        </is>
      </c>
      <c r="H31" t="inlineStr">
        <is>
          <t>1010</t>
        </is>
      </c>
      <c r="I31" t="inlineStr">
        <is>
          <t>Wien</t>
        </is>
      </c>
      <c r="J31" t="inlineStr">
        <is>
          <t>1. Bezirk – Innere Stadt</t>
        </is>
      </c>
      <c r="K31" t="inlineStr">
        <is>
          <t>+43 1 346 09 68</t>
        </is>
      </c>
      <c r="L31" t="inlineStr"/>
      <c r="M31" t="inlineStr"/>
      <c r="N31" t="inlineStr">
        <is>
          <t>https://www.praxisplan.at/9779/sofia-kuhn-natriashvili/ordination/1</t>
        </is>
      </c>
      <c r="O31" t="inlineStr">
        <is>
          <t>https://www.praxisplan.at/suche?name=&amp;specialization=71&amp;zip=&amp;gender=&amp;diploma=&amp;specialty=&amp;insurance=&amp;vaccine=&amp;locale=</t>
        </is>
      </c>
      <c r="P31" t="inlineStr">
        <is>
          <t>Praxisplan</t>
        </is>
      </c>
      <c r="Q31" t="inlineStr"/>
      <c r="R31" t="inlineStr">
        <is>
          <t>Unknown</t>
        </is>
      </c>
      <c r="S31" t="inlineStr">
        <is>
          <t>3</t>
        </is>
      </c>
      <c r="T31" t="inlineStr">
        <is>
          <t>Public phone, vienna, high callback specialty</t>
        </is>
      </c>
      <c r="U31" t="inlineStr">
        <is>
          <t>Not contacted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No</t>
        </is>
      </c>
      <c r="AH31" t="inlineStr">
        <is>
          <t>No</t>
        </is>
      </c>
      <c r="AI31" t="inlineStr"/>
      <c r="AJ31" t="inlineStr">
        <is>
          <t>Unknown</t>
        </is>
      </c>
      <c r="AK31" t="inlineStr"/>
      <c r="AL31" t="inlineStr"/>
      <c r="AM31" t="inlineStr"/>
      <c r="AN31" t="inlineStr">
        <is>
          <t>2026-07-10</t>
        </is>
      </c>
    </row>
    <row r="32">
      <c r="A32" t="inlineStr">
        <is>
          <t>LEAD-0031</t>
        </is>
      </c>
      <c r="B32" t="inlineStr">
        <is>
          <t>Dr. Peter Machowetz-Müller</t>
        </is>
      </c>
      <c r="C32" t="inlineStr">
        <is>
          <t>Dr.</t>
        </is>
      </c>
      <c r="D32" t="inlineStr"/>
      <c r="E32" t="inlineStr">
        <is>
          <t>Kinder- u. Jugendpsychiatrie</t>
        </is>
      </c>
      <c r="F32" t="inlineStr"/>
      <c r="G32" t="inlineStr">
        <is>
          <t>Ruckergasse 53/5</t>
        </is>
      </c>
      <c r="H32" t="inlineStr">
        <is>
          <t>1120</t>
        </is>
      </c>
      <c r="I32" t="inlineStr">
        <is>
          <t>Wien</t>
        </is>
      </c>
      <c r="J32" t="inlineStr">
        <is>
          <t>12. Bezirk – Meidling</t>
        </is>
      </c>
      <c r="K32" t="inlineStr">
        <is>
          <t>+43 1 817 65 00</t>
        </is>
      </c>
      <c r="L32" t="inlineStr"/>
      <c r="M32" t="inlineStr"/>
      <c r="N32" t="inlineStr">
        <is>
          <t>https://www.praxisplan.at/2171/peter-machowetz-muller/ordination/2</t>
        </is>
      </c>
      <c r="O32" t="inlineStr">
        <is>
          <t>https://www.praxisplan.at/suche?name=&amp;specialization=71&amp;zip=&amp;gender=&amp;diploma=&amp;specialty=&amp;insurance=&amp;vaccine=&amp;locale=</t>
        </is>
      </c>
      <c r="P32" t="inlineStr">
        <is>
          <t>Praxisplan</t>
        </is>
      </c>
      <c r="Q32" t="inlineStr"/>
      <c r="R32" t="inlineStr">
        <is>
          <t>Unknown</t>
        </is>
      </c>
      <c r="S32" t="inlineStr">
        <is>
          <t>3</t>
        </is>
      </c>
      <c r="T32" t="inlineStr">
        <is>
          <t>Public phone, vienna, high callback specialty</t>
        </is>
      </c>
      <c r="U32" t="inlineStr">
        <is>
          <t>Not contacted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No</t>
        </is>
      </c>
      <c r="AH32" t="inlineStr">
        <is>
          <t>No</t>
        </is>
      </c>
      <c r="AI32" t="inlineStr"/>
      <c r="AJ32" t="inlineStr">
        <is>
          <t>Unknown</t>
        </is>
      </c>
      <c r="AK32" t="inlineStr"/>
      <c r="AL32" t="inlineStr"/>
      <c r="AM32" t="inlineStr"/>
      <c r="AN32" t="inlineStr">
        <is>
          <t>2026-07-10</t>
        </is>
      </c>
    </row>
    <row r="33">
      <c r="A33" t="inlineStr">
        <is>
          <t>LEAD-0032</t>
        </is>
      </c>
      <c r="B33" t="inlineStr">
        <is>
          <t>Dr. Dunja Mairhofer</t>
        </is>
      </c>
      <c r="C33" t="inlineStr">
        <is>
          <t>Dr.</t>
        </is>
      </c>
      <c r="D33" t="inlineStr"/>
      <c r="E33" t="inlineStr">
        <is>
          <t>Kinder- u. Jugendpsychiatrie</t>
        </is>
      </c>
      <c r="F33" t="inlineStr"/>
      <c r="G33" t="inlineStr">
        <is>
          <t>Theresiengasse 65/5-8</t>
        </is>
      </c>
      <c r="H33" t="inlineStr">
        <is>
          <t>1180</t>
        </is>
      </c>
      <c r="I33" t="inlineStr">
        <is>
          <t>Wien</t>
        </is>
      </c>
      <c r="J33" t="inlineStr">
        <is>
          <t>18. Bezirk – Währing</t>
        </is>
      </c>
      <c r="K33" t="inlineStr">
        <is>
          <t>+43 1 890 12 04</t>
        </is>
      </c>
      <c r="L33" t="inlineStr"/>
      <c r="M33" t="inlineStr"/>
      <c r="N33" t="inlineStr">
        <is>
          <t>https://www.praxisplan.at/10286/dunja-mairhofer/ordination/1</t>
        </is>
      </c>
      <c r="O33" t="inlineStr">
        <is>
          <t>https://www.praxisplan.at/suche?name=&amp;specialization=71&amp;zip=&amp;gender=&amp;diploma=&amp;specialty=&amp;insurance=&amp;vaccine=&amp;locale=</t>
        </is>
      </c>
      <c r="P33" t="inlineStr">
        <is>
          <t>Praxisplan</t>
        </is>
      </c>
      <c r="Q33" t="inlineStr"/>
      <c r="R33" t="inlineStr">
        <is>
          <t>Unknown</t>
        </is>
      </c>
      <c r="S33" t="inlineStr">
        <is>
          <t>3</t>
        </is>
      </c>
      <c r="T33" t="inlineStr">
        <is>
          <t>Public phone, vienna, high callback specialty</t>
        </is>
      </c>
      <c r="U33" t="inlineStr">
        <is>
          <t>Not contacted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>
        <is>
          <t>No</t>
        </is>
      </c>
      <c r="AH33" t="inlineStr">
        <is>
          <t>No</t>
        </is>
      </c>
      <c r="AI33" t="inlineStr"/>
      <c r="AJ33" t="inlineStr">
        <is>
          <t>Unknown</t>
        </is>
      </c>
      <c r="AK33" t="inlineStr"/>
      <c r="AL33" t="inlineStr"/>
      <c r="AM33" t="inlineStr"/>
      <c r="AN33" t="inlineStr">
        <is>
          <t>2026-07-10</t>
        </is>
      </c>
    </row>
    <row r="34">
      <c r="A34" t="inlineStr">
        <is>
          <t>LEAD-0033</t>
        </is>
      </c>
      <c r="B34" t="inlineStr">
        <is>
          <t>Priv.Doz. Dr. Anastasia Male-Dressler</t>
        </is>
      </c>
      <c r="C34" t="inlineStr">
        <is>
          <t>Priv.Doz. Dr.</t>
        </is>
      </c>
      <c r="D34" t="inlineStr"/>
      <c r="E34" t="inlineStr">
        <is>
          <t>Kinder- u. Jugendpsychiatrie</t>
        </is>
      </c>
      <c r="F34" t="inlineStr"/>
      <c r="G34" t="inlineStr">
        <is>
          <t>Fuchsthallergasse 1</t>
        </is>
      </c>
      <c r="H34" t="inlineStr">
        <is>
          <t>1090</t>
        </is>
      </c>
      <c r="I34" t="inlineStr">
        <is>
          <t>Wien</t>
        </is>
      </c>
      <c r="J34" t="inlineStr">
        <is>
          <t>9. Bezirk – Alsergrund</t>
        </is>
      </c>
      <c r="K34" t="inlineStr">
        <is>
          <t>+43 1 405 62 59</t>
        </is>
      </c>
      <c r="L34" t="inlineStr"/>
      <c r="M34" t="inlineStr"/>
      <c r="N34" t="inlineStr">
        <is>
          <t>https://www.praxisplan.at/6801/anastasia-male-dressler/ordination/2</t>
        </is>
      </c>
      <c r="O34" t="inlineStr">
        <is>
          <t>https://www.praxisplan.at/suche?name=&amp;specialization=71&amp;zip=&amp;gender=&amp;diploma=&amp;specialty=&amp;insurance=&amp;vaccine=&amp;locale=</t>
        </is>
      </c>
      <c r="P34" t="inlineStr">
        <is>
          <t>Praxisplan</t>
        </is>
      </c>
      <c r="Q34" t="inlineStr"/>
      <c r="R34" t="inlineStr">
        <is>
          <t>Unknown</t>
        </is>
      </c>
      <c r="S34" t="inlineStr">
        <is>
          <t>3</t>
        </is>
      </c>
      <c r="T34" t="inlineStr">
        <is>
          <t>Public phone, vienna, high callback specialty</t>
        </is>
      </c>
      <c r="U34" t="inlineStr">
        <is>
          <t>Not contacted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No</t>
        </is>
      </c>
      <c r="AH34" t="inlineStr">
        <is>
          <t>No</t>
        </is>
      </c>
      <c r="AI34" t="inlineStr"/>
      <c r="AJ34" t="inlineStr">
        <is>
          <t>Unknown</t>
        </is>
      </c>
      <c r="AK34" t="inlineStr"/>
      <c r="AL34" t="inlineStr"/>
      <c r="AM34" t="inlineStr"/>
      <c r="AN34" t="inlineStr">
        <is>
          <t>2026-07-10</t>
        </is>
      </c>
    </row>
    <row r="35">
      <c r="A35" t="inlineStr">
        <is>
          <t>LEAD-0034</t>
        </is>
      </c>
      <c r="B35" t="inlineStr">
        <is>
          <t>Dr. Elisabeth Merl</t>
        </is>
      </c>
      <c r="C35" t="inlineStr">
        <is>
          <t>Dr.</t>
        </is>
      </c>
      <c r="D35" t="inlineStr"/>
      <c r="E35" t="inlineStr">
        <is>
          <t>Kinder- u. Jugendpsychiatrie u. Psychotherapeutische Medizin (alle Kassen)</t>
        </is>
      </c>
      <c r="F35" t="inlineStr"/>
      <c r="G35" t="inlineStr">
        <is>
          <t>wieder geöffnet am 13.07.</t>
        </is>
      </c>
      <c r="H35" t="inlineStr">
        <is>
          <t>2026</t>
        </is>
      </c>
      <c r="I35" t="inlineStr">
        <is>
          <t>: 12.00 - 19.00 Uhr</t>
        </is>
      </c>
      <c r="J35" t="inlineStr"/>
      <c r="K35" t="inlineStr">
        <is>
          <t>+43 664 540 05 25</t>
        </is>
      </c>
      <c r="L35" t="inlineStr"/>
      <c r="M35" t="inlineStr"/>
      <c r="N35" t="inlineStr">
        <is>
          <t>https://www.praxisplan.at/6130/elisabeth-merl/ordination/1</t>
        </is>
      </c>
      <c r="O35" t="inlineStr">
        <is>
          <t>https://www.praxisplan.at/suche?name=&amp;specialization=71&amp;zip=&amp;gender=&amp;diploma=&amp;specialty=&amp;insurance=&amp;vaccine=&amp;locale=</t>
        </is>
      </c>
      <c r="P35" t="inlineStr">
        <is>
          <t>Praxisplan</t>
        </is>
      </c>
      <c r="Q35" t="inlineStr"/>
      <c r="R35" t="inlineStr">
        <is>
          <t>Unknown</t>
        </is>
      </c>
      <c r="S35" t="inlineStr">
        <is>
          <t>2</t>
        </is>
      </c>
      <c r="T35" t="inlineStr">
        <is>
          <t>Public phone, high callback specialty</t>
        </is>
      </c>
      <c r="U35" t="inlineStr">
        <is>
          <t>Not contacted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>
        <is>
          <t>No</t>
        </is>
      </c>
      <c r="AH35" t="inlineStr">
        <is>
          <t>No</t>
        </is>
      </c>
      <c r="AI35" t="inlineStr"/>
      <c r="AJ35" t="inlineStr">
        <is>
          <t>Unknown</t>
        </is>
      </c>
      <c r="AK35" t="inlineStr"/>
      <c r="AL35" t="inlineStr"/>
      <c r="AM35" t="inlineStr"/>
      <c r="AN35" t="inlineStr">
        <is>
          <t>2026-07-10</t>
        </is>
      </c>
    </row>
    <row r="36">
      <c r="A36" t="inlineStr">
        <is>
          <t>LEAD-0035</t>
        </is>
      </c>
      <c r="B36" t="inlineStr">
        <is>
          <t>Dr. Susanne Meznik</t>
        </is>
      </c>
      <c r="C36" t="inlineStr">
        <is>
          <t>Dr.</t>
        </is>
      </c>
      <c r="D36" t="inlineStr"/>
      <c r="E36" t="inlineStr">
        <is>
          <t>Kinder- u. Jugendpsychiatrie</t>
        </is>
      </c>
      <c r="F36" t="inlineStr"/>
      <c r="G36" t="inlineStr">
        <is>
          <t>Gumpendorfer Straße 111/3/8</t>
        </is>
      </c>
      <c r="H36" t="inlineStr">
        <is>
          <t>1060</t>
        </is>
      </c>
      <c r="I36" t="inlineStr">
        <is>
          <t>Wien</t>
        </is>
      </c>
      <c r="J36" t="inlineStr">
        <is>
          <t>6. Bezirk – Mariahilf</t>
        </is>
      </c>
      <c r="K36" t="inlineStr">
        <is>
          <t>+43 664 42 45 178</t>
        </is>
      </c>
      <c r="L36" t="inlineStr"/>
      <c r="M36" t="inlineStr"/>
      <c r="N36" t="inlineStr">
        <is>
          <t>https://www.praxisplan.at/3748/susanne-meznik/ordination/2</t>
        </is>
      </c>
      <c r="O36" t="inlineStr">
        <is>
          <t>https://www.praxisplan.at/suche?name=&amp;specialization=71&amp;zip=&amp;gender=&amp;diploma=&amp;specialty=&amp;insurance=&amp;vaccine=&amp;locale=</t>
        </is>
      </c>
      <c r="P36" t="inlineStr">
        <is>
          <t>Praxisplan</t>
        </is>
      </c>
      <c r="Q36" t="inlineStr"/>
      <c r="R36" t="inlineStr">
        <is>
          <t>Unknown</t>
        </is>
      </c>
      <c r="S36" t="inlineStr">
        <is>
          <t>3</t>
        </is>
      </c>
      <c r="T36" t="inlineStr">
        <is>
          <t>Public phone, vienna, high callback specialty</t>
        </is>
      </c>
      <c r="U36" t="inlineStr">
        <is>
          <t>Not contacted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>
        <is>
          <t>No</t>
        </is>
      </c>
      <c r="AH36" t="inlineStr">
        <is>
          <t>No</t>
        </is>
      </c>
      <c r="AI36" t="inlineStr"/>
      <c r="AJ36" t="inlineStr">
        <is>
          <t>Unknown</t>
        </is>
      </c>
      <c r="AK36" t="inlineStr"/>
      <c r="AL36" t="inlineStr"/>
      <c r="AM36" t="inlineStr"/>
      <c r="AN36" t="inlineStr">
        <is>
          <t>2026-07-10</t>
        </is>
      </c>
    </row>
    <row r="37">
      <c r="A37" t="inlineStr">
        <is>
          <t>LEAD-0036</t>
        </is>
      </c>
      <c r="B37" t="inlineStr">
        <is>
          <t>Dr. Christoph Minar</t>
        </is>
      </c>
      <c r="C37" t="inlineStr">
        <is>
          <t>Dr.</t>
        </is>
      </c>
      <c r="D37" t="inlineStr"/>
      <c r="E37" t="inlineStr">
        <is>
          <t>Kinder- u. Jugendpsychiatrie u. Psychotherapeutische Medizin (alle Kassen)</t>
        </is>
      </c>
      <c r="F37" t="inlineStr"/>
      <c r="G37" t="inlineStr">
        <is>
          <t>vom 21.07.</t>
        </is>
      </c>
      <c r="H37" t="inlineStr">
        <is>
          <t>2026</t>
        </is>
      </c>
      <c r="I37" t="inlineStr">
        <is>
          <t>bis 29.07.2026 im Urlaub</t>
        </is>
      </c>
      <c r="J37" t="inlineStr"/>
      <c r="K37" t="inlineStr">
        <is>
          <t>+43 660 520 64 69</t>
        </is>
      </c>
      <c r="L37" t="inlineStr"/>
      <c r="M37" t="inlineStr"/>
      <c r="N37" t="inlineStr">
        <is>
          <t>https://www.praxisplan.at/8826/christoph-minar/ordination/1</t>
        </is>
      </c>
      <c r="O37" t="inlineStr">
        <is>
          <t>https://www.praxisplan.at/suche?name=&amp;specialization=71&amp;zip=&amp;gender=&amp;diploma=&amp;specialty=&amp;insurance=&amp;vaccine=&amp;locale=</t>
        </is>
      </c>
      <c r="P37" t="inlineStr">
        <is>
          <t>Praxisplan</t>
        </is>
      </c>
      <c r="Q37" t="inlineStr"/>
      <c r="R37" t="inlineStr">
        <is>
          <t>Unknown</t>
        </is>
      </c>
      <c r="S37" t="inlineStr">
        <is>
          <t>2</t>
        </is>
      </c>
      <c r="T37" t="inlineStr">
        <is>
          <t>Public phone, high callback specialty</t>
        </is>
      </c>
      <c r="U37" t="inlineStr">
        <is>
          <t>Not contacted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>
        <is>
          <t>No</t>
        </is>
      </c>
      <c r="AH37" t="inlineStr">
        <is>
          <t>No</t>
        </is>
      </c>
      <c r="AI37" t="inlineStr"/>
      <c r="AJ37" t="inlineStr">
        <is>
          <t>Unknown</t>
        </is>
      </c>
      <c r="AK37" t="inlineStr"/>
      <c r="AL37" t="inlineStr"/>
      <c r="AM37" t="inlineStr"/>
      <c r="AN37" t="inlineStr">
        <is>
          <t>2026-07-10</t>
        </is>
      </c>
    </row>
    <row r="38">
      <c r="A38" t="inlineStr">
        <is>
          <t>LEAD-0037</t>
        </is>
      </c>
      <c r="B38" t="inlineStr">
        <is>
          <t>Dr. Michaela Mitterer</t>
        </is>
      </c>
      <c r="C38" t="inlineStr">
        <is>
          <t>Dr.</t>
        </is>
      </c>
      <c r="D38" t="inlineStr"/>
      <c r="E38" t="inlineStr">
        <is>
          <t>Kinder- u. Jugendpsychiatrie u. Psychotherapeutische Medizin</t>
        </is>
      </c>
      <c r="F38" t="inlineStr"/>
      <c r="G38" t="inlineStr">
        <is>
          <t>Penzinger Straße 6/11</t>
        </is>
      </c>
      <c r="H38" t="inlineStr">
        <is>
          <t>1140</t>
        </is>
      </c>
      <c r="I38" t="inlineStr">
        <is>
          <t>Wien</t>
        </is>
      </c>
      <c r="J38" t="inlineStr">
        <is>
          <t>14. Bezirk – Penzing</t>
        </is>
      </c>
      <c r="K38" t="inlineStr">
        <is>
          <t>+43 677 551 17 91</t>
        </is>
      </c>
      <c r="L38" t="inlineStr"/>
      <c r="M38" t="inlineStr"/>
      <c r="N38" t="inlineStr">
        <is>
          <t>https://www.praxisplan.at/10199/michaela-mitterer/ordination/1</t>
        </is>
      </c>
      <c r="O38" t="inlineStr">
        <is>
          <t>https://www.praxisplan.at/suche?name=&amp;specialization=71&amp;zip=&amp;gender=&amp;diploma=&amp;specialty=&amp;insurance=&amp;vaccine=&amp;locale=</t>
        </is>
      </c>
      <c r="P38" t="inlineStr">
        <is>
          <t>Praxisplan</t>
        </is>
      </c>
      <c r="Q38" t="inlineStr"/>
      <c r="R38" t="inlineStr">
        <is>
          <t>Unknown</t>
        </is>
      </c>
      <c r="S38" t="inlineStr">
        <is>
          <t>3</t>
        </is>
      </c>
      <c r="T38" t="inlineStr">
        <is>
          <t>Public phone, vienna, high callback specialty</t>
        </is>
      </c>
      <c r="U38" t="inlineStr">
        <is>
          <t>Not contacted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No</t>
        </is>
      </c>
      <c r="AH38" t="inlineStr">
        <is>
          <t>No</t>
        </is>
      </c>
      <c r="AI38" t="inlineStr"/>
      <c r="AJ38" t="inlineStr">
        <is>
          <t>Unknown</t>
        </is>
      </c>
      <c r="AK38" t="inlineStr"/>
      <c r="AL38" t="inlineStr"/>
      <c r="AM38" t="inlineStr"/>
      <c r="AN38" t="inlineStr">
        <is>
          <t>2026-07-10</t>
        </is>
      </c>
    </row>
    <row r="39">
      <c r="A39" t="inlineStr">
        <is>
          <t>LEAD-0038</t>
        </is>
      </c>
      <c r="B39" t="inlineStr">
        <is>
          <t>Mag. Dr. Elisabeth Pellegrini</t>
        </is>
      </c>
      <c r="C39" t="inlineStr">
        <is>
          <t>Mag.</t>
        </is>
      </c>
      <c r="D39" t="inlineStr"/>
      <c r="E39" t="inlineStr">
        <is>
          <t>Kinder- u. Jugendpsychiatrie u. Psychotherapeutische Medizin</t>
        </is>
      </c>
      <c r="F39" t="inlineStr"/>
      <c r="G39" t="inlineStr">
        <is>
          <t>Kreuzgasse 36/10</t>
        </is>
      </c>
      <c r="H39" t="inlineStr">
        <is>
          <t>1180</t>
        </is>
      </c>
      <c r="I39" t="inlineStr">
        <is>
          <t>Wien</t>
        </is>
      </c>
      <c r="J39" t="inlineStr">
        <is>
          <t>18. Bezirk – Währing</t>
        </is>
      </c>
      <c r="K39" t="inlineStr">
        <is>
          <t>+43 664 531 21 32</t>
        </is>
      </c>
      <c r="L39" t="inlineStr"/>
      <c r="M39" t="inlineStr"/>
      <c r="N39" t="inlineStr">
        <is>
          <t>https://www.praxisplan.at/3956/elisabeth-pellegrini/ordination/1</t>
        </is>
      </c>
      <c r="O39" t="inlineStr">
        <is>
          <t>https://www.praxisplan.at/suche?name=&amp;specialization=71&amp;zip=&amp;gender=&amp;diploma=&amp;specialty=&amp;insurance=&amp;vaccine=&amp;locale=</t>
        </is>
      </c>
      <c r="P39" t="inlineStr">
        <is>
          <t>Praxisplan</t>
        </is>
      </c>
      <c r="Q39" t="inlineStr"/>
      <c r="R39" t="inlineStr">
        <is>
          <t>Unknown</t>
        </is>
      </c>
      <c r="S39" t="inlineStr">
        <is>
          <t>3</t>
        </is>
      </c>
      <c r="T39" t="inlineStr">
        <is>
          <t>Public phone, vienna, high callback specialty</t>
        </is>
      </c>
      <c r="U39" t="inlineStr">
        <is>
          <t>Not contacted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>
        <is>
          <t>No</t>
        </is>
      </c>
      <c r="AH39" t="inlineStr">
        <is>
          <t>No</t>
        </is>
      </c>
      <c r="AI39" t="inlineStr"/>
      <c r="AJ39" t="inlineStr">
        <is>
          <t>Unknown</t>
        </is>
      </c>
      <c r="AK39" t="inlineStr"/>
      <c r="AL39" t="inlineStr"/>
      <c r="AM39" t="inlineStr"/>
      <c r="AN39" t="inlineStr">
        <is>
          <t>2026-07-10</t>
        </is>
      </c>
    </row>
    <row r="40">
      <c r="A40" t="inlineStr">
        <is>
          <t>LEAD-0039</t>
        </is>
      </c>
      <c r="B40" t="inlineStr">
        <is>
          <t>Dr. Parham Peyman</t>
        </is>
      </c>
      <c r="C40" t="inlineStr">
        <is>
          <t>Dr.</t>
        </is>
      </c>
      <c r="D40" t="inlineStr"/>
      <c r="E40" t="inlineStr">
        <is>
          <t>Kinder- u. Jugendpsychiatrie u. Psychotherapeutische Medizin (alle Kassen)</t>
        </is>
      </c>
      <c r="F40" t="inlineStr"/>
      <c r="G40" t="inlineStr">
        <is>
          <t>vom 13.07.</t>
        </is>
      </c>
      <c r="H40" t="inlineStr">
        <is>
          <t>2026</t>
        </is>
      </c>
      <c r="I40" t="inlineStr">
        <is>
          <t>bis 27.07.2026 im Urlaub</t>
        </is>
      </c>
      <c r="J40" t="inlineStr"/>
      <c r="K40" t="inlineStr">
        <is>
          <t>+43 1 997 43 84</t>
        </is>
      </c>
      <c r="L40" t="inlineStr"/>
      <c r="M40" t="inlineStr"/>
      <c r="N40" t="inlineStr">
        <is>
          <t>https://www.praxisplan.at/8788/parham-peyman/ordination/1</t>
        </is>
      </c>
      <c r="O40" t="inlineStr">
        <is>
          <t>https://www.praxisplan.at/suche?name=&amp;specialization=71&amp;zip=&amp;gender=&amp;diploma=&amp;specialty=&amp;insurance=&amp;vaccine=&amp;locale=</t>
        </is>
      </c>
      <c r="P40" t="inlineStr">
        <is>
          <t>Praxisplan</t>
        </is>
      </c>
      <c r="Q40" t="inlineStr"/>
      <c r="R40" t="inlineStr">
        <is>
          <t>Unknown</t>
        </is>
      </c>
      <c r="S40" t="inlineStr">
        <is>
          <t>2</t>
        </is>
      </c>
      <c r="T40" t="inlineStr">
        <is>
          <t>Public phone, high callback specialty</t>
        </is>
      </c>
      <c r="U40" t="inlineStr">
        <is>
          <t>Not contacted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>
        <is>
          <t>No</t>
        </is>
      </c>
      <c r="AH40" t="inlineStr">
        <is>
          <t>No</t>
        </is>
      </c>
      <c r="AI40" t="inlineStr"/>
      <c r="AJ40" t="inlineStr">
        <is>
          <t>Unknown</t>
        </is>
      </c>
      <c r="AK40" t="inlineStr"/>
      <c r="AL40" t="inlineStr"/>
      <c r="AM40" t="inlineStr"/>
      <c r="AN40" t="inlineStr">
        <is>
          <t>2026-07-10</t>
        </is>
      </c>
    </row>
    <row r="41">
      <c r="A41" t="inlineStr">
        <is>
          <t>LEAD-0040</t>
        </is>
      </c>
      <c r="B41" t="inlineStr">
        <is>
          <t>Dr. Eva Maria Pilger</t>
        </is>
      </c>
      <c r="C41" t="inlineStr">
        <is>
          <t>Dr.</t>
        </is>
      </c>
      <c r="D41" t="inlineStr"/>
      <c r="E41" t="inlineStr">
        <is>
          <t>Kinder- u. Jugendpsychiatrie u. Psychotherapeutische Medizin (alle Kassen)</t>
        </is>
      </c>
      <c r="F41" t="inlineStr"/>
      <c r="G41" t="inlineStr">
        <is>
          <t>wieder geöffnet am 13.07.</t>
        </is>
      </c>
      <c r="H41" t="inlineStr">
        <is>
          <t>2026</t>
        </is>
      </c>
      <c r="I41" t="inlineStr">
        <is>
          <t>: 10.00 - 16.30 Uhr</t>
        </is>
      </c>
      <c r="J41" t="inlineStr"/>
      <c r="K41" t="inlineStr">
        <is>
          <t>+43 1 361 01 15</t>
        </is>
      </c>
      <c r="L41" t="inlineStr"/>
      <c r="M41" t="inlineStr"/>
      <c r="N41" t="inlineStr">
        <is>
          <t>https://www.praxisplan.at/5381/eva-maria-pilger/ordination/1</t>
        </is>
      </c>
      <c r="O41" t="inlineStr">
        <is>
          <t>https://www.praxisplan.at/suche?name=&amp;specialization=71&amp;zip=&amp;gender=&amp;diploma=&amp;specialty=&amp;insurance=&amp;vaccine=&amp;locale=</t>
        </is>
      </c>
      <c r="P41" t="inlineStr">
        <is>
          <t>Praxisplan</t>
        </is>
      </c>
      <c r="Q41" t="inlineStr"/>
      <c r="R41" t="inlineStr">
        <is>
          <t>Unknown</t>
        </is>
      </c>
      <c r="S41" t="inlineStr">
        <is>
          <t>2</t>
        </is>
      </c>
      <c r="T41" t="inlineStr">
        <is>
          <t>Public phone, high callback specialty</t>
        </is>
      </c>
      <c r="U41" t="inlineStr">
        <is>
          <t>Not contacted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>
        <is>
          <t>No</t>
        </is>
      </c>
      <c r="AH41" t="inlineStr">
        <is>
          <t>No</t>
        </is>
      </c>
      <c r="AI41" t="inlineStr"/>
      <c r="AJ41" t="inlineStr">
        <is>
          <t>Unknown</t>
        </is>
      </c>
      <c r="AK41" t="inlineStr"/>
      <c r="AL41" t="inlineStr"/>
      <c r="AM41" t="inlineStr"/>
      <c r="AN41" t="inlineStr">
        <is>
          <t>2026-07-10</t>
        </is>
      </c>
    </row>
    <row r="42">
      <c r="A42" t="inlineStr">
        <is>
          <t>LEAD-0041</t>
        </is>
      </c>
      <c r="B42" t="inlineStr">
        <is>
          <t>Dr. Sigrid Piribauer</t>
        </is>
      </c>
      <c r="C42" t="inlineStr">
        <is>
          <t>Dr.</t>
        </is>
      </c>
      <c r="D42" t="inlineStr"/>
      <c r="E42" t="inlineStr">
        <is>
          <t>Kinder- u. Jugendpsychiatrie u. Psychotherapeutische Medizin</t>
        </is>
      </c>
      <c r="F42" t="inlineStr"/>
      <c r="G42" t="inlineStr">
        <is>
          <t>Neustiftgasse 20/7</t>
        </is>
      </c>
      <c r="H42" t="inlineStr">
        <is>
          <t>1070</t>
        </is>
      </c>
      <c r="I42" t="inlineStr">
        <is>
          <t>Wien</t>
        </is>
      </c>
      <c r="J42" t="inlineStr">
        <is>
          <t>7. Bezirk – Neubau</t>
        </is>
      </c>
      <c r="K42" t="inlineStr">
        <is>
          <t>+43 677 631 801 00</t>
        </is>
      </c>
      <c r="L42" t="inlineStr"/>
      <c r="M42" t="inlineStr"/>
      <c r="N42" t="inlineStr">
        <is>
          <t>https://www.praxisplan.at/14798/sigrid-piribauer/ordination/1</t>
        </is>
      </c>
      <c r="O42" t="inlineStr">
        <is>
          <t>https://www.praxisplan.at/suche?name=&amp;specialization=71&amp;zip=&amp;gender=&amp;diploma=&amp;specialty=&amp;insurance=&amp;vaccine=&amp;locale=</t>
        </is>
      </c>
      <c r="P42" t="inlineStr">
        <is>
          <t>Praxisplan</t>
        </is>
      </c>
      <c r="Q42" t="inlineStr"/>
      <c r="R42" t="inlineStr">
        <is>
          <t>Unknown</t>
        </is>
      </c>
      <c r="S42" t="inlineStr">
        <is>
          <t>3</t>
        </is>
      </c>
      <c r="T42" t="inlineStr">
        <is>
          <t>Public phone, vienna, high callback specialty</t>
        </is>
      </c>
      <c r="U42" t="inlineStr">
        <is>
          <t>Not contacted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>
        <is>
          <t>No</t>
        </is>
      </c>
      <c r="AH42" t="inlineStr">
        <is>
          <t>No</t>
        </is>
      </c>
      <c r="AI42" t="inlineStr"/>
      <c r="AJ42" t="inlineStr">
        <is>
          <t>Unknown</t>
        </is>
      </c>
      <c r="AK42" t="inlineStr"/>
      <c r="AL42" t="inlineStr"/>
      <c r="AM42" t="inlineStr"/>
      <c r="AN42" t="inlineStr">
        <is>
          <t>2026-07-10</t>
        </is>
      </c>
    </row>
    <row r="43">
      <c r="A43" t="inlineStr">
        <is>
          <t>LEAD-0042</t>
        </is>
      </c>
      <c r="B43" t="inlineStr">
        <is>
          <t>Dr. Ruth Pöchacker</t>
        </is>
      </c>
      <c r="C43" t="inlineStr">
        <is>
          <t>Dr.</t>
        </is>
      </c>
      <c r="D43" t="inlineStr"/>
      <c r="E43" t="inlineStr">
        <is>
          <t>Kinder- u. Jugendpsychiatrie (alle Kassen)</t>
        </is>
      </c>
      <c r="F43" t="inlineStr"/>
      <c r="G43" t="inlineStr">
        <is>
          <t>wieder geöffnet am 13.07.</t>
        </is>
      </c>
      <c r="H43" t="inlineStr">
        <is>
          <t>2026</t>
        </is>
      </c>
      <c r="I43" t="inlineStr">
        <is>
          <t>: 14.00 - 19.00 Uhr</t>
        </is>
      </c>
      <c r="J43" t="inlineStr"/>
      <c r="K43" t="inlineStr">
        <is>
          <t>+43 1 388 00 22</t>
        </is>
      </c>
      <c r="L43" t="inlineStr"/>
      <c r="M43" t="inlineStr"/>
      <c r="N43" t="inlineStr">
        <is>
          <t>https://www.praxisplan.at/3189/ruth-pochacker/ordination/1</t>
        </is>
      </c>
      <c r="O43" t="inlineStr">
        <is>
          <t>https://www.praxisplan.at/suche?name=&amp;specialization=71&amp;zip=&amp;gender=&amp;diploma=&amp;specialty=&amp;insurance=&amp;vaccine=&amp;locale=</t>
        </is>
      </c>
      <c r="P43" t="inlineStr">
        <is>
          <t>Praxisplan</t>
        </is>
      </c>
      <c r="Q43" t="inlineStr"/>
      <c r="R43" t="inlineStr">
        <is>
          <t>Unknown</t>
        </is>
      </c>
      <c r="S43" t="inlineStr">
        <is>
          <t>2</t>
        </is>
      </c>
      <c r="T43" t="inlineStr">
        <is>
          <t>Public phone, high callback specialty</t>
        </is>
      </c>
      <c r="U43" t="inlineStr">
        <is>
          <t>Not contacted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>
        <is>
          <t>No</t>
        </is>
      </c>
      <c r="AH43" t="inlineStr">
        <is>
          <t>No</t>
        </is>
      </c>
      <c r="AI43" t="inlineStr"/>
      <c r="AJ43" t="inlineStr">
        <is>
          <t>Unknown</t>
        </is>
      </c>
      <c r="AK43" t="inlineStr"/>
      <c r="AL43" t="inlineStr"/>
      <c r="AM43" t="inlineStr"/>
      <c r="AN43" t="inlineStr">
        <is>
          <t>2026-07-10</t>
        </is>
      </c>
    </row>
    <row r="44">
      <c r="A44" t="inlineStr">
        <is>
          <t>LEAD-0043</t>
        </is>
      </c>
      <c r="B44" t="inlineStr">
        <is>
          <t>Dr. Heidemarie Irma Pontoni-Ochsenhofer</t>
        </is>
      </c>
      <c r="C44" t="inlineStr">
        <is>
          <t>Dr.</t>
        </is>
      </c>
      <c r="D44" t="inlineStr"/>
      <c r="E44" t="inlineStr">
        <is>
          <t>Kinder- u. Jugendpsychiatrie</t>
        </is>
      </c>
      <c r="F44" t="inlineStr"/>
      <c r="G44" t="inlineStr">
        <is>
          <t>Elßlergasse 22/5</t>
        </is>
      </c>
      <c r="H44" t="inlineStr">
        <is>
          <t>1130</t>
        </is>
      </c>
      <c r="I44" t="inlineStr">
        <is>
          <t>Wien</t>
        </is>
      </c>
      <c r="J44" t="inlineStr">
        <is>
          <t>13. Bezirk – Hietzing</t>
        </is>
      </c>
      <c r="K44" t="inlineStr">
        <is>
          <t>+43 699 188 831 96</t>
        </is>
      </c>
      <c r="L44" t="inlineStr"/>
      <c r="M44" t="inlineStr"/>
      <c r="N44" t="inlineStr">
        <is>
          <t>https://www.praxisplan.at/3977/heidemarie-irma-pontoni-ochsenhofer/ordination/1</t>
        </is>
      </c>
      <c r="O44" t="inlineStr">
        <is>
          <t>https://www.praxisplan.at/suche?name=&amp;specialization=71&amp;zip=&amp;gender=&amp;diploma=&amp;specialty=&amp;insurance=&amp;vaccine=&amp;locale=</t>
        </is>
      </c>
      <c r="P44" t="inlineStr">
        <is>
          <t>Praxisplan</t>
        </is>
      </c>
      <c r="Q44" t="inlineStr"/>
      <c r="R44" t="inlineStr">
        <is>
          <t>Unknown</t>
        </is>
      </c>
      <c r="S44" t="inlineStr">
        <is>
          <t>3</t>
        </is>
      </c>
      <c r="T44" t="inlineStr">
        <is>
          <t>Public phone, vienna, high callback specialty</t>
        </is>
      </c>
      <c r="U44" t="inlineStr">
        <is>
          <t>Not contacted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>
        <is>
          <t>No</t>
        </is>
      </c>
      <c r="AH44" t="inlineStr">
        <is>
          <t>No</t>
        </is>
      </c>
      <c r="AI44" t="inlineStr"/>
      <c r="AJ44" t="inlineStr">
        <is>
          <t>Unknown</t>
        </is>
      </c>
      <c r="AK44" t="inlineStr"/>
      <c r="AL44" t="inlineStr"/>
      <c r="AM44" t="inlineStr"/>
      <c r="AN44" t="inlineStr">
        <is>
          <t>2026-07-10</t>
        </is>
      </c>
    </row>
    <row r="45">
      <c r="A45" t="inlineStr">
        <is>
          <t>LEAD-0044</t>
        </is>
      </c>
      <c r="B45" t="inlineStr">
        <is>
          <t>Dr. Hanna Röhsler</t>
        </is>
      </c>
      <c r="C45" t="inlineStr">
        <is>
          <t>Dr.</t>
        </is>
      </c>
      <c r="D45" t="inlineStr"/>
      <c r="E45" t="inlineStr">
        <is>
          <t>Kinder- u. Jugendpsychiatrie</t>
        </is>
      </c>
      <c r="F45" t="inlineStr"/>
      <c r="G45" t="inlineStr">
        <is>
          <t>Rasumofskygasse 34/12</t>
        </is>
      </c>
      <c r="H45" t="inlineStr">
        <is>
          <t>1030</t>
        </is>
      </c>
      <c r="I45" t="inlineStr">
        <is>
          <t>Wien</t>
        </is>
      </c>
      <c r="J45" t="inlineStr">
        <is>
          <t>3. Bezirk – Landstraße</t>
        </is>
      </c>
      <c r="K45" t="inlineStr">
        <is>
          <t>+43 664 22 828 22</t>
        </is>
      </c>
      <c r="L45" t="inlineStr"/>
      <c r="M45" t="inlineStr"/>
      <c r="N45" t="inlineStr">
        <is>
          <t>https://www.praxisplan.at/4209/hanna-rohsler/ordination/2</t>
        </is>
      </c>
      <c r="O45" t="inlineStr">
        <is>
          <t>https://www.praxisplan.at/suche?name=&amp;specialization=71&amp;zip=&amp;gender=&amp;diploma=&amp;specialty=&amp;insurance=&amp;vaccine=&amp;locale=</t>
        </is>
      </c>
      <c r="P45" t="inlineStr">
        <is>
          <t>Praxisplan</t>
        </is>
      </c>
      <c r="Q45" t="inlineStr"/>
      <c r="R45" t="inlineStr">
        <is>
          <t>Unknown</t>
        </is>
      </c>
      <c r="S45" t="inlineStr">
        <is>
          <t>3</t>
        </is>
      </c>
      <c r="T45" t="inlineStr">
        <is>
          <t>Public phone, vienna, high callback specialty</t>
        </is>
      </c>
      <c r="U45" t="inlineStr">
        <is>
          <t>Not contacted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>
        <is>
          <t>No</t>
        </is>
      </c>
      <c r="AH45" t="inlineStr">
        <is>
          <t>No</t>
        </is>
      </c>
      <c r="AI45" t="inlineStr"/>
      <c r="AJ45" t="inlineStr">
        <is>
          <t>Unknown</t>
        </is>
      </c>
      <c r="AK45" t="inlineStr"/>
      <c r="AL45" t="inlineStr"/>
      <c r="AM45" t="inlineStr"/>
      <c r="AN45" t="inlineStr">
        <is>
          <t>2026-07-10</t>
        </is>
      </c>
    </row>
    <row r="46">
      <c r="A46" t="inlineStr">
        <is>
          <t>LEAD-0045</t>
        </is>
      </c>
      <c r="B46" t="inlineStr">
        <is>
          <t>Dr. Mirjam Rothenbuchner</t>
        </is>
      </c>
      <c r="C46" t="inlineStr">
        <is>
          <t>Dr.</t>
        </is>
      </c>
      <c r="D46" t="inlineStr"/>
      <c r="E46" t="inlineStr">
        <is>
          <t>Kinder- u. Jugendpsychiatrie u. Psychotherapeutische Medizin</t>
        </is>
      </c>
      <c r="F46" t="inlineStr"/>
      <c r="G46" t="inlineStr">
        <is>
          <t>Schopenhauerstraße 36/2</t>
        </is>
      </c>
      <c r="H46" t="inlineStr">
        <is>
          <t>1180</t>
        </is>
      </c>
      <c r="I46" t="inlineStr">
        <is>
          <t>Wien</t>
        </is>
      </c>
      <c r="J46" t="inlineStr">
        <is>
          <t>18. Bezirk – Währing</t>
        </is>
      </c>
      <c r="K46" t="inlineStr"/>
      <c r="L46" t="inlineStr"/>
      <c r="M46" t="inlineStr"/>
      <c r="N46" t="inlineStr">
        <is>
          <t>https://www.praxisplan.at/10526/mirjam-rothenbuchner/ordination/1</t>
        </is>
      </c>
      <c r="O46" t="inlineStr">
        <is>
          <t>https://www.praxisplan.at/suche?name=&amp;specialization=71&amp;zip=&amp;gender=&amp;diploma=&amp;specialty=&amp;insurance=&amp;vaccine=&amp;locale=</t>
        </is>
      </c>
      <c r="P46" t="inlineStr">
        <is>
          <t>Praxisplan</t>
        </is>
      </c>
      <c r="Q46" t="inlineStr"/>
      <c r="R46" t="inlineStr">
        <is>
          <t>Unknown</t>
        </is>
      </c>
      <c r="S46" t="inlineStr">
        <is>
          <t>2</t>
        </is>
      </c>
      <c r="T46" t="inlineStr">
        <is>
          <t>Vienna, high callback specialty</t>
        </is>
      </c>
      <c r="U46" t="inlineStr">
        <is>
          <t>Not contacted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>
        <is>
          <t>No</t>
        </is>
      </c>
      <c r="AH46" t="inlineStr">
        <is>
          <t>No</t>
        </is>
      </c>
      <c r="AI46" t="inlineStr"/>
      <c r="AJ46" t="inlineStr">
        <is>
          <t>Unknown</t>
        </is>
      </c>
      <c r="AK46" t="inlineStr"/>
      <c r="AL46" t="inlineStr"/>
      <c r="AM46" t="inlineStr"/>
      <c r="AN46" t="inlineStr">
        <is>
          <t>2026-07-10</t>
        </is>
      </c>
    </row>
    <row r="47">
      <c r="A47" t="inlineStr">
        <is>
          <t>LEAD-0046</t>
        </is>
      </c>
      <c r="B47" t="inlineStr">
        <is>
          <t>Dr. Heidi Rothwangl</t>
        </is>
      </c>
      <c r="C47" t="inlineStr">
        <is>
          <t>Dr.</t>
        </is>
      </c>
      <c r="D47" t="inlineStr"/>
      <c r="E47" t="inlineStr">
        <is>
          <t>Kinder- u. Jugendpsychiatrie u. Psychotherapeutische Medizin</t>
        </is>
      </c>
      <c r="F47" t="inlineStr"/>
      <c r="G47" t="inlineStr">
        <is>
          <t>Puntigamgasse 9</t>
        </is>
      </c>
      <c r="H47" t="inlineStr">
        <is>
          <t>1130</t>
        </is>
      </c>
      <c r="I47" t="inlineStr">
        <is>
          <t>Wien</t>
        </is>
      </c>
      <c r="J47" t="inlineStr">
        <is>
          <t>13. Bezirk – Hietzing</t>
        </is>
      </c>
      <c r="K47" t="inlineStr">
        <is>
          <t>+43 676 728 37 37</t>
        </is>
      </c>
      <c r="L47" t="inlineStr"/>
      <c r="M47" t="inlineStr"/>
      <c r="N47" t="inlineStr">
        <is>
          <t>https://www.praxisplan.at/18039/heidi-rothwangl/ordination/1</t>
        </is>
      </c>
      <c r="O47" t="inlineStr">
        <is>
          <t>https://www.praxisplan.at/suche?name=&amp;specialization=71&amp;zip=&amp;gender=&amp;diploma=&amp;specialty=&amp;insurance=&amp;vaccine=&amp;locale=</t>
        </is>
      </c>
      <c r="P47" t="inlineStr">
        <is>
          <t>Praxisplan</t>
        </is>
      </c>
      <c r="Q47" t="inlineStr"/>
      <c r="R47" t="inlineStr">
        <is>
          <t>Unknown</t>
        </is>
      </c>
      <c r="S47" t="inlineStr">
        <is>
          <t>3</t>
        </is>
      </c>
      <c r="T47" t="inlineStr">
        <is>
          <t>Public phone, vienna, high callback specialty</t>
        </is>
      </c>
      <c r="U47" t="inlineStr">
        <is>
          <t>Not contacted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>
        <is>
          <t>No</t>
        </is>
      </c>
      <c r="AH47" t="inlineStr">
        <is>
          <t>No</t>
        </is>
      </c>
      <c r="AI47" t="inlineStr"/>
      <c r="AJ47" t="inlineStr">
        <is>
          <t>Unknown</t>
        </is>
      </c>
      <c r="AK47" t="inlineStr"/>
      <c r="AL47" t="inlineStr"/>
      <c r="AM47" t="inlineStr"/>
      <c r="AN47" t="inlineStr">
        <is>
          <t>2026-07-10</t>
        </is>
      </c>
    </row>
    <row r="48">
      <c r="A48" t="inlineStr">
        <is>
          <t>LEAD-0047</t>
        </is>
      </c>
      <c r="B48" t="inlineStr">
        <is>
          <t>Mag. Dr. Christian Scharinger</t>
        </is>
      </c>
      <c r="C48" t="inlineStr">
        <is>
          <t>Mag.</t>
        </is>
      </c>
      <c r="D48" t="inlineStr"/>
      <c r="E48" t="inlineStr">
        <is>
          <t>Kinder- u. Jugendpsychiatrie u. Psychotherapeutische Medizin</t>
        </is>
      </c>
      <c r="F48" t="inlineStr"/>
      <c r="G48" t="inlineStr">
        <is>
          <t>Währinger Straße 18/3</t>
        </is>
      </c>
      <c r="H48" t="inlineStr">
        <is>
          <t>1090</t>
        </is>
      </c>
      <c r="I48" t="inlineStr">
        <is>
          <t>Wien</t>
        </is>
      </c>
      <c r="J48" t="inlineStr">
        <is>
          <t>9. Bezirk – Alsergrund</t>
        </is>
      </c>
      <c r="K48" t="inlineStr">
        <is>
          <t>+43 1 343 96 00</t>
        </is>
      </c>
      <c r="L48" t="inlineStr"/>
      <c r="M48" t="inlineStr"/>
      <c r="N48" t="inlineStr">
        <is>
          <t>https://www.praxisplan.at/9210/christian-scharinger/ordination/2</t>
        </is>
      </c>
      <c r="O48" t="inlineStr">
        <is>
          <t>https://www.praxisplan.at/suche?name=&amp;specialization=71&amp;zip=&amp;gender=&amp;diploma=&amp;specialty=&amp;insurance=&amp;vaccine=&amp;locale=</t>
        </is>
      </c>
      <c r="P48" t="inlineStr">
        <is>
          <t>Praxisplan</t>
        </is>
      </c>
      <c r="Q48" t="inlineStr"/>
      <c r="R48" t="inlineStr">
        <is>
          <t>Unknown</t>
        </is>
      </c>
      <c r="S48" t="inlineStr">
        <is>
          <t>3</t>
        </is>
      </c>
      <c r="T48" t="inlineStr">
        <is>
          <t>Public phone, vienna, high callback specialty</t>
        </is>
      </c>
      <c r="U48" t="inlineStr">
        <is>
          <t>Not contacted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>
        <is>
          <t>No</t>
        </is>
      </c>
      <c r="AH48" t="inlineStr">
        <is>
          <t>No</t>
        </is>
      </c>
      <c r="AI48" t="inlineStr"/>
      <c r="AJ48" t="inlineStr">
        <is>
          <t>Unknown</t>
        </is>
      </c>
      <c r="AK48" t="inlineStr"/>
      <c r="AL48" t="inlineStr"/>
      <c r="AM48" t="inlineStr"/>
      <c r="AN48" t="inlineStr">
        <is>
          <t>2026-07-10</t>
        </is>
      </c>
    </row>
    <row r="49">
      <c r="A49" t="inlineStr">
        <is>
          <t>LEAD-0048</t>
        </is>
      </c>
      <c r="B49" t="inlineStr">
        <is>
          <t>Dr. Anneliese Schimak MSc</t>
        </is>
      </c>
      <c r="C49" t="inlineStr">
        <is>
          <t>Dr.</t>
        </is>
      </c>
      <c r="D49" t="inlineStr"/>
      <c r="E49" t="inlineStr">
        <is>
          <t>Kinder- u. Jugendpsychiatrie u. Psychotherapeutische Medizin</t>
        </is>
      </c>
      <c r="F49" t="inlineStr"/>
      <c r="G49" t="inlineStr">
        <is>
          <t>Neustiftgasse 20/7</t>
        </is>
      </c>
      <c r="H49" t="inlineStr">
        <is>
          <t>1070</t>
        </is>
      </c>
      <c r="I49" t="inlineStr">
        <is>
          <t>Wien</t>
        </is>
      </c>
      <c r="J49" t="inlineStr">
        <is>
          <t>7. Bezirk – Neubau</t>
        </is>
      </c>
      <c r="K49" t="inlineStr">
        <is>
          <t>+43 678 131 11 41</t>
        </is>
      </c>
      <c r="L49" t="inlineStr"/>
      <c r="M49" t="inlineStr"/>
      <c r="N49" t="inlineStr">
        <is>
          <t>https://www.praxisplan.at/8146/anneliese-schimak-msc/ordination/1</t>
        </is>
      </c>
      <c r="O49" t="inlineStr">
        <is>
          <t>https://www.praxisplan.at/suche?name=&amp;specialization=71&amp;zip=&amp;gender=&amp;diploma=&amp;specialty=&amp;insurance=&amp;vaccine=&amp;locale=</t>
        </is>
      </c>
      <c r="P49" t="inlineStr">
        <is>
          <t>Praxisplan</t>
        </is>
      </c>
      <c r="Q49" t="inlineStr"/>
      <c r="R49" t="inlineStr">
        <is>
          <t>Unknown</t>
        </is>
      </c>
      <c r="S49" t="inlineStr">
        <is>
          <t>3</t>
        </is>
      </c>
      <c r="T49" t="inlineStr">
        <is>
          <t>Public phone, vienna, high callback specialty</t>
        </is>
      </c>
      <c r="U49" t="inlineStr">
        <is>
          <t>Not contacted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No</t>
        </is>
      </c>
      <c r="AH49" t="inlineStr">
        <is>
          <t>No</t>
        </is>
      </c>
      <c r="AI49" t="inlineStr"/>
      <c r="AJ49" t="inlineStr">
        <is>
          <t>Unknown</t>
        </is>
      </c>
      <c r="AK49" t="inlineStr"/>
      <c r="AL49" t="inlineStr"/>
      <c r="AM49" t="inlineStr"/>
      <c r="AN49" t="inlineStr">
        <is>
          <t>2026-07-10</t>
        </is>
      </c>
    </row>
    <row r="50">
      <c r="A50" t="inlineStr">
        <is>
          <t>LEAD-0049</t>
        </is>
      </c>
      <c r="B50" t="inlineStr">
        <is>
          <t>Dr. Verena Katharina Elisabeth Schima-Kometer</t>
        </is>
      </c>
      <c r="C50" t="inlineStr">
        <is>
          <t>Dr.</t>
        </is>
      </c>
      <c r="D50" t="inlineStr"/>
      <c r="E50" t="inlineStr">
        <is>
          <t>Kinder- u. Jugendpsychiatrie</t>
        </is>
      </c>
      <c r="F50" t="inlineStr"/>
      <c r="G50" t="inlineStr">
        <is>
          <t>Schumanngasse 84</t>
        </is>
      </c>
      <c r="H50" t="inlineStr">
        <is>
          <t>1170</t>
        </is>
      </c>
      <c r="I50" t="inlineStr">
        <is>
          <t>Wien</t>
        </is>
      </c>
      <c r="J50" t="inlineStr">
        <is>
          <t>17. Bezirk – Hernals</t>
        </is>
      </c>
      <c r="K50" t="inlineStr">
        <is>
          <t>+43 1 480 30 10</t>
        </is>
      </c>
      <c r="L50" t="inlineStr"/>
      <c r="M50" t="inlineStr"/>
      <c r="N50" t="inlineStr">
        <is>
          <t>https://www.praxisplan.at/20751/verena-katharina-elisabeth-schima-kometer/ordination/1</t>
        </is>
      </c>
      <c r="O50" t="inlineStr">
        <is>
          <t>https://www.praxisplan.at/suche?name=&amp;specialization=71&amp;zip=&amp;gender=&amp;diploma=&amp;specialty=&amp;insurance=&amp;vaccine=&amp;locale=</t>
        </is>
      </c>
      <c r="P50" t="inlineStr">
        <is>
          <t>Praxisplan</t>
        </is>
      </c>
      <c r="Q50" t="inlineStr"/>
      <c r="R50" t="inlineStr">
        <is>
          <t>Unknown</t>
        </is>
      </c>
      <c r="S50" t="inlineStr">
        <is>
          <t>3</t>
        </is>
      </c>
      <c r="T50" t="inlineStr">
        <is>
          <t>Public phone, vienna, high callback specialty</t>
        </is>
      </c>
      <c r="U50" t="inlineStr">
        <is>
          <t>Not contacted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No</t>
        </is>
      </c>
      <c r="AH50" t="inlineStr">
        <is>
          <t>No</t>
        </is>
      </c>
      <c r="AI50" t="inlineStr"/>
      <c r="AJ50" t="inlineStr">
        <is>
          <t>Unknown</t>
        </is>
      </c>
      <c r="AK50" t="inlineStr"/>
      <c r="AL50" t="inlineStr"/>
      <c r="AM50" t="inlineStr"/>
      <c r="AN50" t="inlineStr">
        <is>
          <t>2026-07-10</t>
        </is>
      </c>
    </row>
    <row r="51">
      <c r="A51" t="inlineStr">
        <is>
          <t>LEAD-0050</t>
        </is>
      </c>
      <c r="B51" t="inlineStr">
        <is>
          <t>Dr. Alexandra Schmidt-Trost</t>
        </is>
      </c>
      <c r="C51" t="inlineStr">
        <is>
          <t>Dr.</t>
        </is>
      </c>
      <c r="D51" t="inlineStr"/>
      <c r="E51" t="inlineStr">
        <is>
          <t>Kinder- u. Jugendpsychiatrie</t>
        </is>
      </c>
      <c r="F51" t="inlineStr"/>
      <c r="G51" t="inlineStr">
        <is>
          <t>Linzer Straße 382/1/5</t>
        </is>
      </c>
      <c r="H51" t="inlineStr">
        <is>
          <t>1140</t>
        </is>
      </c>
      <c r="I51" t="inlineStr">
        <is>
          <t>Wien</t>
        </is>
      </c>
      <c r="J51" t="inlineStr">
        <is>
          <t>14. Bezirk – Penzing</t>
        </is>
      </c>
      <c r="K51" t="inlineStr">
        <is>
          <t>+43 680 133 95 59</t>
        </is>
      </c>
      <c r="L51" t="inlineStr"/>
      <c r="M51" t="inlineStr"/>
      <c r="N51" t="inlineStr">
        <is>
          <t>https://www.praxisplan.at/4447/alexandra-schmidt-trost/ordination/2</t>
        </is>
      </c>
      <c r="O51" t="inlineStr">
        <is>
          <t>https://www.praxisplan.at/suche?name=&amp;specialization=71&amp;zip=&amp;gender=&amp;diploma=&amp;specialty=&amp;insurance=&amp;vaccine=&amp;locale=</t>
        </is>
      </c>
      <c r="P51" t="inlineStr">
        <is>
          <t>Praxisplan</t>
        </is>
      </c>
      <c r="Q51" t="inlineStr"/>
      <c r="R51" t="inlineStr">
        <is>
          <t>Unknown</t>
        </is>
      </c>
      <c r="S51" t="inlineStr">
        <is>
          <t>3</t>
        </is>
      </c>
      <c r="T51" t="inlineStr">
        <is>
          <t>Public phone, vienna, high callback specialty</t>
        </is>
      </c>
      <c r="U51" t="inlineStr">
        <is>
          <t>Not contacted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No</t>
        </is>
      </c>
      <c r="AH51" t="inlineStr">
        <is>
          <t>No</t>
        </is>
      </c>
      <c r="AI51" t="inlineStr"/>
      <c r="AJ51" t="inlineStr">
        <is>
          <t>Unknown</t>
        </is>
      </c>
      <c r="AK51" t="inlineStr"/>
      <c r="AL51" t="inlineStr"/>
      <c r="AM51" t="inlineStr"/>
      <c r="AN51" t="inlineStr">
        <is>
          <t>2026-07-10</t>
        </is>
      </c>
    </row>
    <row r="52">
      <c r="A52" t="inlineStr">
        <is>
          <t>LEAD-0051</t>
        </is>
      </c>
      <c r="B52" t="inlineStr">
        <is>
          <t>Dr. Gabriele Schöfbeck</t>
        </is>
      </c>
      <c r="C52" t="inlineStr">
        <is>
          <t>Dr.</t>
        </is>
      </c>
      <c r="D52" t="inlineStr"/>
      <c r="E52" t="inlineStr">
        <is>
          <t>Kinder- u. Jugendpsychiatrie</t>
        </is>
      </c>
      <c r="F52" t="inlineStr"/>
      <c r="G52" t="inlineStr">
        <is>
          <t>Gentzgasse 9/13</t>
        </is>
      </c>
      <c r="H52" t="inlineStr">
        <is>
          <t>1180</t>
        </is>
      </c>
      <c r="I52" t="inlineStr">
        <is>
          <t>Wien</t>
        </is>
      </c>
      <c r="J52" t="inlineStr">
        <is>
          <t>18. Bezirk – Währing</t>
        </is>
      </c>
      <c r="K52" t="inlineStr">
        <is>
          <t>+43 676 970 04 77</t>
        </is>
      </c>
      <c r="L52" t="inlineStr"/>
      <c r="M52" t="inlineStr"/>
      <c r="N52" t="inlineStr">
        <is>
          <t>https://www.praxisplan.at/9191/gabriele-schofbeck/ordination/1</t>
        </is>
      </c>
      <c r="O52" t="inlineStr">
        <is>
          <t>https://www.praxisplan.at/suche?name=&amp;specialization=71&amp;zip=&amp;gender=&amp;diploma=&amp;specialty=&amp;insurance=&amp;vaccine=&amp;locale=</t>
        </is>
      </c>
      <c r="P52" t="inlineStr">
        <is>
          <t>Praxisplan</t>
        </is>
      </c>
      <c r="Q52" t="inlineStr"/>
      <c r="R52" t="inlineStr">
        <is>
          <t>Unknown</t>
        </is>
      </c>
      <c r="S52" t="inlineStr">
        <is>
          <t>3</t>
        </is>
      </c>
      <c r="T52" t="inlineStr">
        <is>
          <t>Public phone, vienna, high callback specialty</t>
        </is>
      </c>
      <c r="U52" t="inlineStr">
        <is>
          <t>Not contacted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No</t>
        </is>
      </c>
      <c r="AH52" t="inlineStr">
        <is>
          <t>No</t>
        </is>
      </c>
      <c r="AI52" t="inlineStr"/>
      <c r="AJ52" t="inlineStr">
        <is>
          <t>Unknown</t>
        </is>
      </c>
      <c r="AK52" t="inlineStr"/>
      <c r="AL52" t="inlineStr"/>
      <c r="AM52" t="inlineStr"/>
      <c r="AN52" t="inlineStr">
        <is>
          <t>2026-07-10</t>
        </is>
      </c>
    </row>
    <row r="53">
      <c r="A53" t="inlineStr">
        <is>
          <t>LEAD-0052</t>
        </is>
      </c>
      <c r="B53" t="inlineStr">
        <is>
          <t>Dr. Ulrike Schulz</t>
        </is>
      </c>
      <c r="C53" t="inlineStr">
        <is>
          <t>Dr.</t>
        </is>
      </c>
      <c r="D53" t="inlineStr"/>
      <c r="E53" t="inlineStr">
        <is>
          <t>Kinder- u. Jugendpsychiatrie (alle Kassen)</t>
        </is>
      </c>
      <c r="F53" t="inlineStr"/>
      <c r="G53" t="inlineStr">
        <is>
          <t>am 13.07.</t>
        </is>
      </c>
      <c r="H53" t="inlineStr">
        <is>
          <t>2026</t>
        </is>
      </c>
      <c r="I53" t="inlineStr">
        <is>
          <t>im Urlaub</t>
        </is>
      </c>
      <c r="J53" t="inlineStr"/>
      <c r="K53" t="inlineStr">
        <is>
          <t>+43 1 212 51 65</t>
        </is>
      </c>
      <c r="L53" t="inlineStr"/>
      <c r="M53" t="inlineStr"/>
      <c r="N53" t="inlineStr">
        <is>
          <t>https://www.praxisplan.at/2726/ulrike-schulz/ordination/1</t>
        </is>
      </c>
      <c r="O53" t="inlineStr">
        <is>
          <t>https://www.praxisplan.at/suche?name=&amp;specialization=71&amp;zip=&amp;gender=&amp;diploma=&amp;specialty=&amp;insurance=&amp;vaccine=&amp;locale=</t>
        </is>
      </c>
      <c r="P53" t="inlineStr">
        <is>
          <t>Praxisplan</t>
        </is>
      </c>
      <c r="Q53" t="inlineStr"/>
      <c r="R53" t="inlineStr">
        <is>
          <t>Unknown</t>
        </is>
      </c>
      <c r="S53" t="inlineStr">
        <is>
          <t>2</t>
        </is>
      </c>
      <c r="T53" t="inlineStr">
        <is>
          <t>Public phone, high callback specialty</t>
        </is>
      </c>
      <c r="U53" t="inlineStr">
        <is>
          <t>Not contacted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No</t>
        </is>
      </c>
      <c r="AH53" t="inlineStr">
        <is>
          <t>No</t>
        </is>
      </c>
      <c r="AI53" t="inlineStr"/>
      <c r="AJ53" t="inlineStr">
        <is>
          <t>Unknown</t>
        </is>
      </c>
      <c r="AK53" t="inlineStr"/>
      <c r="AL53" t="inlineStr"/>
      <c r="AM53" t="inlineStr"/>
      <c r="AN53" t="inlineStr">
        <is>
          <t>2026-07-10</t>
        </is>
      </c>
    </row>
    <row r="54">
      <c r="A54" t="inlineStr">
        <is>
          <t>LEAD-0053</t>
        </is>
      </c>
      <c r="B54" t="inlineStr">
        <is>
          <t>Assoc.Prof.Priv.Doz. Dr. Julia Maria Schwarzenberg</t>
        </is>
      </c>
      <c r="C54" t="inlineStr"/>
      <c r="D54" t="inlineStr"/>
      <c r="E54" t="inlineStr">
        <is>
          <t>Kinder- u. Jugendpsychiatrie</t>
        </is>
      </c>
      <c r="F54" t="inlineStr"/>
      <c r="G54" t="inlineStr">
        <is>
          <t>Auerspergstraße 6</t>
        </is>
      </c>
      <c r="H54" t="inlineStr">
        <is>
          <t>1010</t>
        </is>
      </c>
      <c r="I54" t="inlineStr">
        <is>
          <t>Wien</t>
        </is>
      </c>
      <c r="J54" t="inlineStr">
        <is>
          <t>1. Bezirk – Innere Stadt</t>
        </is>
      </c>
      <c r="K54" t="inlineStr">
        <is>
          <t>+43 1 226 55 67</t>
        </is>
      </c>
      <c r="L54" t="inlineStr"/>
      <c r="M54" t="inlineStr"/>
      <c r="N54" t="inlineStr">
        <is>
          <t>https://www.praxisplan.at/7216/julia-maria-schwarzenberg/ordination/1</t>
        </is>
      </c>
      <c r="O54" t="inlineStr">
        <is>
          <t>https://www.praxisplan.at/suche?name=&amp;specialization=71&amp;zip=&amp;gender=&amp;diploma=&amp;specialty=&amp;insurance=&amp;vaccine=&amp;locale=</t>
        </is>
      </c>
      <c r="P54" t="inlineStr">
        <is>
          <t>Praxisplan</t>
        </is>
      </c>
      <c r="Q54" t="inlineStr"/>
      <c r="R54" t="inlineStr">
        <is>
          <t>Unknown</t>
        </is>
      </c>
      <c r="S54" t="inlineStr">
        <is>
          <t>3</t>
        </is>
      </c>
      <c r="T54" t="inlineStr">
        <is>
          <t>Public phone, vienna, high callback specialty</t>
        </is>
      </c>
      <c r="U54" t="inlineStr">
        <is>
          <t>Not contacted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No</t>
        </is>
      </c>
      <c r="AH54" t="inlineStr">
        <is>
          <t>No</t>
        </is>
      </c>
      <c r="AI54" t="inlineStr"/>
      <c r="AJ54" t="inlineStr">
        <is>
          <t>Unknown</t>
        </is>
      </c>
      <c r="AK54" t="inlineStr"/>
      <c r="AL54" t="inlineStr"/>
      <c r="AM54" t="inlineStr"/>
      <c r="AN54" t="inlineStr">
        <is>
          <t>2026-07-10</t>
        </is>
      </c>
    </row>
    <row r="55">
      <c r="A55" t="inlineStr">
        <is>
          <t>LEAD-0054</t>
        </is>
      </c>
      <c r="B55" t="inlineStr">
        <is>
          <t>Dr. Klaus Schwienbacher</t>
        </is>
      </c>
      <c r="C55" t="inlineStr">
        <is>
          <t>Dr.</t>
        </is>
      </c>
      <c r="D55" t="inlineStr"/>
      <c r="E55" t="inlineStr">
        <is>
          <t>Kinder- u. Jugendpsychiatrie u. Psychotherapeutische Medizin</t>
        </is>
      </c>
      <c r="F55" t="inlineStr"/>
      <c r="G55" t="inlineStr">
        <is>
          <t>Hernalser Hauptstraße 15/DG</t>
        </is>
      </c>
      <c r="H55" t="inlineStr">
        <is>
          <t>1170</t>
        </is>
      </c>
      <c r="I55" t="inlineStr">
        <is>
          <t>Wien</t>
        </is>
      </c>
      <c r="J55" t="inlineStr">
        <is>
          <t>17. Bezirk – Hernals</t>
        </is>
      </c>
      <c r="K55" t="inlineStr">
        <is>
          <t>+43 660 439 81 36</t>
        </is>
      </c>
      <c r="L55" t="inlineStr"/>
      <c r="M55" t="inlineStr"/>
      <c r="N55" t="inlineStr">
        <is>
          <t>https://www.praxisplan.at/5283/klaus-schwienbacher/ordination/2</t>
        </is>
      </c>
      <c r="O55" t="inlineStr">
        <is>
          <t>https://www.praxisplan.at/suche?name=&amp;specialization=71&amp;zip=&amp;gender=&amp;diploma=&amp;specialty=&amp;insurance=&amp;vaccine=&amp;locale=</t>
        </is>
      </c>
      <c r="P55" t="inlineStr">
        <is>
          <t>Praxisplan</t>
        </is>
      </c>
      <c r="Q55" t="inlineStr"/>
      <c r="R55" t="inlineStr">
        <is>
          <t>Unknown</t>
        </is>
      </c>
      <c r="S55" t="inlineStr">
        <is>
          <t>3</t>
        </is>
      </c>
      <c r="T55" t="inlineStr">
        <is>
          <t>Public phone, vienna, high callback specialty</t>
        </is>
      </c>
      <c r="U55" t="inlineStr">
        <is>
          <t>Not contacted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No</t>
        </is>
      </c>
      <c r="AH55" t="inlineStr">
        <is>
          <t>No</t>
        </is>
      </c>
      <c r="AI55" t="inlineStr"/>
      <c r="AJ55" t="inlineStr">
        <is>
          <t>Unknown</t>
        </is>
      </c>
      <c r="AK55" t="inlineStr"/>
      <c r="AL55" t="inlineStr"/>
      <c r="AM55" t="inlineStr"/>
      <c r="AN55" t="inlineStr">
        <is>
          <t>2026-07-10</t>
        </is>
      </c>
    </row>
    <row r="56">
      <c r="A56" t="inlineStr">
        <is>
          <t>LEAD-0055</t>
        </is>
      </c>
      <c r="B56" t="inlineStr">
        <is>
          <t>Dr. Teresa Skribe</t>
        </is>
      </c>
      <c r="C56" t="inlineStr">
        <is>
          <t>Dr.</t>
        </is>
      </c>
      <c r="D56" t="inlineStr"/>
      <c r="E56" t="inlineStr">
        <is>
          <t>Kinder- u. Jugendpsychiatrie u. Psychotherapeutische Medizin</t>
        </is>
      </c>
      <c r="F56" t="inlineStr"/>
      <c r="G56" t="inlineStr">
        <is>
          <t>Siebensterngasse 54/11</t>
        </is>
      </c>
      <c r="H56" t="inlineStr">
        <is>
          <t>1070</t>
        </is>
      </c>
      <c r="I56" t="inlineStr">
        <is>
          <t>Wien</t>
        </is>
      </c>
      <c r="J56" t="inlineStr">
        <is>
          <t>7. Bezirk – Neubau</t>
        </is>
      </c>
      <c r="K56" t="inlineStr">
        <is>
          <t>+43 664 382 68 36</t>
        </is>
      </c>
      <c r="L56" t="inlineStr"/>
      <c r="M56" t="inlineStr"/>
      <c r="N56" t="inlineStr">
        <is>
          <t>https://www.praxisplan.at/6527/teresa-skribe/ordination/1</t>
        </is>
      </c>
      <c r="O56" t="inlineStr">
        <is>
          <t>https://www.praxisplan.at/suche?name=&amp;specialization=71&amp;zip=&amp;gender=&amp;diploma=&amp;specialty=&amp;insurance=&amp;vaccine=&amp;locale=</t>
        </is>
      </c>
      <c r="P56" t="inlineStr">
        <is>
          <t>Praxisplan</t>
        </is>
      </c>
      <c r="Q56" t="inlineStr"/>
      <c r="R56" t="inlineStr">
        <is>
          <t>Unknown</t>
        </is>
      </c>
      <c r="S56" t="inlineStr">
        <is>
          <t>3</t>
        </is>
      </c>
      <c r="T56" t="inlineStr">
        <is>
          <t>Public phone, vienna, high callback specialty</t>
        </is>
      </c>
      <c r="U56" t="inlineStr">
        <is>
          <t>Not contacted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No</t>
        </is>
      </c>
      <c r="AH56" t="inlineStr">
        <is>
          <t>No</t>
        </is>
      </c>
      <c r="AI56" t="inlineStr"/>
      <c r="AJ56" t="inlineStr">
        <is>
          <t>Unknown</t>
        </is>
      </c>
      <c r="AK56" t="inlineStr"/>
      <c r="AL56" t="inlineStr"/>
      <c r="AM56" t="inlineStr"/>
      <c r="AN56" t="inlineStr">
        <is>
          <t>2026-07-10</t>
        </is>
      </c>
    </row>
    <row r="57">
      <c r="A57" t="inlineStr">
        <is>
          <t>LEAD-0056</t>
        </is>
      </c>
      <c r="B57" t="inlineStr">
        <is>
          <t>Dr. Georg Sojka</t>
        </is>
      </c>
      <c r="C57" t="inlineStr">
        <is>
          <t>Dr.</t>
        </is>
      </c>
      <c r="D57" t="inlineStr"/>
      <c r="E57" t="inlineStr">
        <is>
          <t>Kinder- u. Jugendpsychiatrie</t>
        </is>
      </c>
      <c r="F57" t="inlineStr"/>
      <c r="G57" t="inlineStr">
        <is>
          <t>Obkirchergasse 22</t>
        </is>
      </c>
      <c r="H57" t="inlineStr">
        <is>
          <t>1190</t>
        </is>
      </c>
      <c r="I57" t="inlineStr">
        <is>
          <t>Wien</t>
        </is>
      </c>
      <c r="J57" t="inlineStr">
        <is>
          <t>19. Bezirk – Döbling</t>
        </is>
      </c>
      <c r="K57" t="inlineStr">
        <is>
          <t>+43 664 214 01 63</t>
        </is>
      </c>
      <c r="L57" t="inlineStr"/>
      <c r="M57" t="inlineStr"/>
      <c r="N57" t="inlineStr">
        <is>
          <t>https://www.praxisplan.at/3847/georg-sojka/ordination/2</t>
        </is>
      </c>
      <c r="O57" t="inlineStr">
        <is>
          <t>https://www.praxisplan.at/suche?name=&amp;specialization=71&amp;zip=&amp;gender=&amp;diploma=&amp;specialty=&amp;insurance=&amp;vaccine=&amp;locale=</t>
        </is>
      </c>
      <c r="P57" t="inlineStr">
        <is>
          <t>Praxisplan</t>
        </is>
      </c>
      <c r="Q57" t="inlineStr"/>
      <c r="R57" t="inlineStr">
        <is>
          <t>Unknown</t>
        </is>
      </c>
      <c r="S57" t="inlineStr">
        <is>
          <t>3</t>
        </is>
      </c>
      <c r="T57" t="inlineStr">
        <is>
          <t>Public phone, vienna, high callback specialty</t>
        </is>
      </c>
      <c r="U57" t="inlineStr">
        <is>
          <t>Not contacted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No</t>
        </is>
      </c>
      <c r="AH57" t="inlineStr">
        <is>
          <t>No</t>
        </is>
      </c>
      <c r="AI57" t="inlineStr"/>
      <c r="AJ57" t="inlineStr">
        <is>
          <t>Unknown</t>
        </is>
      </c>
      <c r="AK57" t="inlineStr"/>
      <c r="AL57" t="inlineStr"/>
      <c r="AM57" t="inlineStr"/>
      <c r="AN57" t="inlineStr">
        <is>
          <t>2026-07-10</t>
        </is>
      </c>
    </row>
    <row r="58">
      <c r="A58" t="inlineStr">
        <is>
          <t>LEAD-0057</t>
        </is>
      </c>
      <c r="B58" t="inlineStr">
        <is>
          <t>Univ.Doz. Dr. Georg Spiel</t>
        </is>
      </c>
      <c r="C58" t="inlineStr">
        <is>
          <t>Univ.Doz. Dr.</t>
        </is>
      </c>
      <c r="D58" t="inlineStr"/>
      <c r="E58" t="inlineStr">
        <is>
          <t>Kinder- u. Jugendpsychiatrie</t>
        </is>
      </c>
      <c r="F58" t="inlineStr"/>
      <c r="G58" t="inlineStr">
        <is>
          <t>Pilgramgasse 8/29</t>
        </is>
      </c>
      <c r="H58" t="inlineStr">
        <is>
          <t>1050</t>
        </is>
      </c>
      <c r="I58" t="inlineStr">
        <is>
          <t>Wien</t>
        </is>
      </c>
      <c r="J58" t="inlineStr">
        <is>
          <t>5. Bezirk – Margareten</t>
        </is>
      </c>
      <c r="K58" t="inlineStr">
        <is>
          <t>+43 1 587 02 44</t>
        </is>
      </c>
      <c r="L58" t="inlineStr"/>
      <c r="M58" t="inlineStr"/>
      <c r="N58" t="inlineStr">
        <is>
          <t>https://www.praxisplan.at/300/georg-spiel/ordination/1</t>
        </is>
      </c>
      <c r="O58" t="inlineStr">
        <is>
          <t>https://www.praxisplan.at/suche?name=&amp;specialization=71&amp;zip=&amp;gender=&amp;diploma=&amp;specialty=&amp;insurance=&amp;vaccine=&amp;locale=</t>
        </is>
      </c>
      <c r="P58" t="inlineStr">
        <is>
          <t>Praxisplan</t>
        </is>
      </c>
      <c r="Q58" t="inlineStr"/>
      <c r="R58" t="inlineStr">
        <is>
          <t>Unknown</t>
        </is>
      </c>
      <c r="S58" t="inlineStr">
        <is>
          <t>3</t>
        </is>
      </c>
      <c r="T58" t="inlineStr">
        <is>
          <t>Public phone, vienna, high callback specialty</t>
        </is>
      </c>
      <c r="U58" t="inlineStr">
        <is>
          <t>Not contacted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No</t>
        </is>
      </c>
      <c r="AH58" t="inlineStr">
        <is>
          <t>No</t>
        </is>
      </c>
      <c r="AI58" t="inlineStr"/>
      <c r="AJ58" t="inlineStr">
        <is>
          <t>Unknown</t>
        </is>
      </c>
      <c r="AK58" t="inlineStr"/>
      <c r="AL58" t="inlineStr"/>
      <c r="AM58" t="inlineStr"/>
      <c r="AN58" t="inlineStr">
        <is>
          <t>2026-07-10</t>
        </is>
      </c>
    </row>
    <row r="59">
      <c r="A59" t="inlineStr">
        <is>
          <t>LEAD-0058</t>
        </is>
      </c>
      <c r="B59" t="inlineStr">
        <is>
          <t>Dr. Hellvig Spinka</t>
        </is>
      </c>
      <c r="C59" t="inlineStr">
        <is>
          <t>Dr.</t>
        </is>
      </c>
      <c r="D59" t="inlineStr"/>
      <c r="E59" t="inlineStr">
        <is>
          <t>Kinder- u. Jugendpsychiatrie u. Psychotherapeutische Medizin</t>
        </is>
      </c>
      <c r="F59" t="inlineStr"/>
      <c r="G59" t="inlineStr">
        <is>
          <t>Joanelligasse 5</t>
        </is>
      </c>
      <c r="H59" t="inlineStr">
        <is>
          <t>1060</t>
        </is>
      </c>
      <c r="I59" t="inlineStr">
        <is>
          <t>Wien</t>
        </is>
      </c>
      <c r="J59" t="inlineStr">
        <is>
          <t>6. Bezirk – Mariahilf</t>
        </is>
      </c>
      <c r="K59" t="inlineStr"/>
      <c r="L59" t="inlineStr"/>
      <c r="M59" t="inlineStr"/>
      <c r="N59" t="inlineStr">
        <is>
          <t>https://www.praxisplan.at/8568/hellvig-spinka/ordination/1</t>
        </is>
      </c>
      <c r="O59" t="inlineStr">
        <is>
          <t>https://www.praxisplan.at/suche?name=&amp;specialization=71&amp;zip=&amp;gender=&amp;diploma=&amp;specialty=&amp;insurance=&amp;vaccine=&amp;locale=</t>
        </is>
      </c>
      <c r="P59" t="inlineStr">
        <is>
          <t>Praxisplan</t>
        </is>
      </c>
      <c r="Q59" t="inlineStr"/>
      <c r="R59" t="inlineStr">
        <is>
          <t>Unknown</t>
        </is>
      </c>
      <c r="S59" t="inlineStr">
        <is>
          <t>2</t>
        </is>
      </c>
      <c r="T59" t="inlineStr">
        <is>
          <t>Vienna, high callback specialty</t>
        </is>
      </c>
      <c r="U59" t="inlineStr">
        <is>
          <t>Not contacted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No</t>
        </is>
      </c>
      <c r="AH59" t="inlineStr">
        <is>
          <t>No</t>
        </is>
      </c>
      <c r="AI59" t="inlineStr"/>
      <c r="AJ59" t="inlineStr">
        <is>
          <t>Unknown</t>
        </is>
      </c>
      <c r="AK59" t="inlineStr"/>
      <c r="AL59" t="inlineStr"/>
      <c r="AM59" t="inlineStr"/>
      <c r="AN59" t="inlineStr">
        <is>
          <t>2026-07-10</t>
        </is>
      </c>
    </row>
    <row r="60">
      <c r="A60" t="inlineStr">
        <is>
          <t>LEAD-0059</t>
        </is>
      </c>
      <c r="B60" t="inlineStr">
        <is>
          <t>Dr. Thomas Stegemann</t>
        </is>
      </c>
      <c r="C60" t="inlineStr">
        <is>
          <t>Dr.</t>
        </is>
      </c>
      <c r="D60" t="inlineStr"/>
      <c r="E60" t="inlineStr">
        <is>
          <t>Kinder- u. Jugendpsychiatrie</t>
        </is>
      </c>
      <c r="F60" t="inlineStr"/>
      <c r="G60" t="inlineStr">
        <is>
          <t>Reisnerstraße 27/2</t>
        </is>
      </c>
      <c r="H60" t="inlineStr">
        <is>
          <t>1030</t>
        </is>
      </c>
      <c r="I60" t="inlineStr">
        <is>
          <t>Wien</t>
        </is>
      </c>
      <c r="J60" t="inlineStr">
        <is>
          <t>3. Bezirk – Landstraße</t>
        </is>
      </c>
      <c r="K60" t="inlineStr">
        <is>
          <t>+43 664 458 60 42</t>
        </is>
      </c>
      <c r="L60" t="inlineStr"/>
      <c r="M60" t="inlineStr"/>
      <c r="N60" t="inlineStr">
        <is>
          <t>https://www.praxisplan.at/17241/thomas-stegemann/ordination/1</t>
        </is>
      </c>
      <c r="O60" t="inlineStr">
        <is>
          <t>https://www.praxisplan.at/suche?name=&amp;specialization=71&amp;zip=&amp;gender=&amp;diploma=&amp;specialty=&amp;insurance=&amp;vaccine=&amp;locale=</t>
        </is>
      </c>
      <c r="P60" t="inlineStr">
        <is>
          <t>Praxisplan</t>
        </is>
      </c>
      <c r="Q60" t="inlineStr"/>
      <c r="R60" t="inlineStr">
        <is>
          <t>Unknown</t>
        </is>
      </c>
      <c r="S60" t="inlineStr">
        <is>
          <t>3</t>
        </is>
      </c>
      <c r="T60" t="inlineStr">
        <is>
          <t>Public phone, vienna, high callback specialty</t>
        </is>
      </c>
      <c r="U60" t="inlineStr">
        <is>
          <t>Not contacted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No</t>
        </is>
      </c>
      <c r="AH60" t="inlineStr">
        <is>
          <t>No</t>
        </is>
      </c>
      <c r="AI60" t="inlineStr"/>
      <c r="AJ60" t="inlineStr">
        <is>
          <t>Unknown</t>
        </is>
      </c>
      <c r="AK60" t="inlineStr"/>
      <c r="AL60" t="inlineStr"/>
      <c r="AM60" t="inlineStr"/>
      <c r="AN60" t="inlineStr">
        <is>
          <t>2026-07-10</t>
        </is>
      </c>
    </row>
    <row r="61">
      <c r="A61" t="inlineStr">
        <is>
          <t>LEAD-0060</t>
        </is>
      </c>
      <c r="B61" t="inlineStr">
        <is>
          <t>Dr. Wilhelm Tenner</t>
        </is>
      </c>
      <c r="C61" t="inlineStr">
        <is>
          <t>Dr.</t>
        </is>
      </c>
      <c r="D61" t="inlineStr"/>
      <c r="E61" t="inlineStr">
        <is>
          <t>Kinder- u. Jugendpsychiatrie u. Psychotherapeutische Medizin</t>
        </is>
      </c>
      <c r="F61" t="inlineStr"/>
      <c r="G61" t="inlineStr">
        <is>
          <t>Biberstraße 8/4/13</t>
        </is>
      </c>
      <c r="H61" t="inlineStr">
        <is>
          <t>1010</t>
        </is>
      </c>
      <c r="I61" t="inlineStr">
        <is>
          <t>Wien</t>
        </is>
      </c>
      <c r="J61" t="inlineStr">
        <is>
          <t>1. Bezirk – Innere Stadt</t>
        </is>
      </c>
      <c r="K61" t="inlineStr">
        <is>
          <t>+43 1 512 96 48</t>
        </is>
      </c>
      <c r="L61" t="inlineStr"/>
      <c r="M61" t="inlineStr"/>
      <c r="N61" t="inlineStr">
        <is>
          <t>https://www.praxisplan.at/1352/wilhelm-tenner/ordination/1</t>
        </is>
      </c>
      <c r="O61" t="inlineStr">
        <is>
          <t>https://www.praxisplan.at/suche?name=&amp;specialization=71&amp;zip=&amp;gender=&amp;diploma=&amp;specialty=&amp;insurance=&amp;vaccine=&amp;locale=</t>
        </is>
      </c>
      <c r="P61" t="inlineStr">
        <is>
          <t>Praxisplan</t>
        </is>
      </c>
      <c r="Q61" t="inlineStr"/>
      <c r="R61" t="inlineStr">
        <is>
          <t>Unknown</t>
        </is>
      </c>
      <c r="S61" t="inlineStr">
        <is>
          <t>3</t>
        </is>
      </c>
      <c r="T61" t="inlineStr">
        <is>
          <t>Public phone, vienna, high callback specialty</t>
        </is>
      </c>
      <c r="U61" t="inlineStr">
        <is>
          <t>Not contacted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No</t>
        </is>
      </c>
      <c r="AH61" t="inlineStr">
        <is>
          <t>No</t>
        </is>
      </c>
      <c r="AI61" t="inlineStr"/>
      <c r="AJ61" t="inlineStr">
        <is>
          <t>Unknown</t>
        </is>
      </c>
      <c r="AK61" t="inlineStr"/>
      <c r="AL61" t="inlineStr"/>
      <c r="AM61" t="inlineStr"/>
      <c r="AN61" t="inlineStr">
        <is>
          <t>2026-07-10</t>
        </is>
      </c>
    </row>
    <row r="62">
      <c r="A62" t="inlineStr">
        <is>
          <t>LEAD-0061</t>
        </is>
      </c>
      <c r="B62" t="inlineStr">
        <is>
          <t>Mag. Dr. Anita Terner-Aczel</t>
        </is>
      </c>
      <c r="C62" t="inlineStr">
        <is>
          <t>Mag.</t>
        </is>
      </c>
      <c r="D62" t="inlineStr"/>
      <c r="E62" t="inlineStr">
        <is>
          <t>Kinder- u. Jugendpsychiatrie</t>
        </is>
      </c>
      <c r="F62" t="inlineStr"/>
      <c r="G62" t="inlineStr">
        <is>
          <t>Salmannsdorfer Straße 88/1</t>
        </is>
      </c>
      <c r="H62" t="inlineStr">
        <is>
          <t>1190</t>
        </is>
      </c>
      <c r="I62" t="inlineStr">
        <is>
          <t>Wien</t>
        </is>
      </c>
      <c r="J62" t="inlineStr">
        <is>
          <t>19. Bezirk – Döbling</t>
        </is>
      </c>
      <c r="K62" t="inlineStr">
        <is>
          <t>+43 676 462 25 11</t>
        </is>
      </c>
      <c r="L62" t="inlineStr"/>
      <c r="M62" t="inlineStr"/>
      <c r="N62" t="inlineStr">
        <is>
          <t>https://www.praxisplan.at/10509/anita-terner-aczel/ordination/1</t>
        </is>
      </c>
      <c r="O62" t="inlineStr">
        <is>
          <t>https://www.praxisplan.at/suche?name=&amp;specialization=71&amp;zip=&amp;gender=&amp;diploma=&amp;specialty=&amp;insurance=&amp;vaccine=&amp;locale=</t>
        </is>
      </c>
      <c r="P62" t="inlineStr">
        <is>
          <t>Praxisplan</t>
        </is>
      </c>
      <c r="Q62" t="inlineStr"/>
      <c r="R62" t="inlineStr">
        <is>
          <t>Unknown</t>
        </is>
      </c>
      <c r="S62" t="inlineStr">
        <is>
          <t>3</t>
        </is>
      </c>
      <c r="T62" t="inlineStr">
        <is>
          <t>Public phone, vienna, high callback specialty</t>
        </is>
      </c>
      <c r="U62" t="inlineStr">
        <is>
          <t>Not contacted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No</t>
        </is>
      </c>
      <c r="AH62" t="inlineStr">
        <is>
          <t>No</t>
        </is>
      </c>
      <c r="AI62" t="inlineStr"/>
      <c r="AJ62" t="inlineStr">
        <is>
          <t>Unknown</t>
        </is>
      </c>
      <c r="AK62" t="inlineStr"/>
      <c r="AL62" t="inlineStr"/>
      <c r="AM62" t="inlineStr"/>
      <c r="AN62" t="inlineStr">
        <is>
          <t>2026-07-10</t>
        </is>
      </c>
    </row>
    <row r="63">
      <c r="A63" t="inlineStr">
        <is>
          <t>LEAD-0062</t>
        </is>
      </c>
      <c r="B63" t="inlineStr">
        <is>
          <t>Dr. Maximilian Thum</t>
        </is>
      </c>
      <c r="C63" t="inlineStr">
        <is>
          <t>Dr.</t>
        </is>
      </c>
      <c r="D63" t="inlineStr"/>
      <c r="E63" t="inlineStr">
        <is>
          <t>Kinder- u. Jugendpsychiatrie (alle Kassen)</t>
        </is>
      </c>
      <c r="F63" t="inlineStr"/>
      <c r="G63" t="inlineStr">
        <is>
          <t>wieder geöffnet am 13.07.</t>
        </is>
      </c>
      <c r="H63" t="inlineStr">
        <is>
          <t>2026</t>
        </is>
      </c>
      <c r="I63" t="inlineStr">
        <is>
          <t>: 10.00 - 16.00 Uhr</t>
        </is>
      </c>
      <c r="J63" t="inlineStr"/>
      <c r="K63" t="inlineStr">
        <is>
          <t>+43 676 777 60 80</t>
        </is>
      </c>
      <c r="L63" t="inlineStr"/>
      <c r="M63" t="inlineStr"/>
      <c r="N63" t="inlineStr">
        <is>
          <t>https://www.praxisplan.at/8920/maximilian-thum/ordination/1</t>
        </is>
      </c>
      <c r="O63" t="inlineStr">
        <is>
          <t>https://www.praxisplan.at/suche?name=&amp;specialization=71&amp;zip=&amp;gender=&amp;diploma=&amp;specialty=&amp;insurance=&amp;vaccine=&amp;locale=</t>
        </is>
      </c>
      <c r="P63" t="inlineStr">
        <is>
          <t>Praxisplan</t>
        </is>
      </c>
      <c r="Q63" t="inlineStr"/>
      <c r="R63" t="inlineStr">
        <is>
          <t>Unknown</t>
        </is>
      </c>
      <c r="S63" t="inlineStr">
        <is>
          <t>2</t>
        </is>
      </c>
      <c r="T63" t="inlineStr">
        <is>
          <t>Public phone, high callback specialty</t>
        </is>
      </c>
      <c r="U63" t="inlineStr">
        <is>
          <t>Not contacted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No</t>
        </is>
      </c>
      <c r="AH63" t="inlineStr">
        <is>
          <t>No</t>
        </is>
      </c>
      <c r="AI63" t="inlineStr"/>
      <c r="AJ63" t="inlineStr">
        <is>
          <t>Unknown</t>
        </is>
      </c>
      <c r="AK63" t="inlineStr"/>
      <c r="AL63" t="inlineStr"/>
      <c r="AM63" t="inlineStr"/>
      <c r="AN63" t="inlineStr">
        <is>
          <t>2026-07-10</t>
        </is>
      </c>
    </row>
    <row r="64">
      <c r="A64" t="inlineStr">
        <is>
          <t>LEAD-0063</t>
        </is>
      </c>
      <c r="B64" t="inlineStr">
        <is>
          <t>Dr. Yörük Emre Uyar</t>
        </is>
      </c>
      <c r="C64" t="inlineStr">
        <is>
          <t>Dr.</t>
        </is>
      </c>
      <c r="D64" t="inlineStr"/>
      <c r="E64" t="inlineStr">
        <is>
          <t>Kinder- u. Jugendpsychiatrie (alle Kassen)</t>
        </is>
      </c>
      <c r="F64" t="inlineStr"/>
      <c r="G64" t="inlineStr">
        <is>
          <t>Porschestraße 29/309+311</t>
        </is>
      </c>
      <c r="H64" t="inlineStr">
        <is>
          <t>1230</t>
        </is>
      </c>
      <c r="I64" t="inlineStr">
        <is>
          <t>Wien</t>
        </is>
      </c>
      <c r="J64" t="inlineStr">
        <is>
          <t>23. Bezirk – Liesing</t>
        </is>
      </c>
      <c r="K64" t="inlineStr">
        <is>
          <t>+43 660 559 94 77</t>
        </is>
      </c>
      <c r="L64" t="inlineStr"/>
      <c r="M64" t="inlineStr"/>
      <c r="N64" t="inlineStr">
        <is>
          <t>https://www.praxisplan.at/9255/yoruk-emre-uyar/ordination/1</t>
        </is>
      </c>
      <c r="O64" t="inlineStr">
        <is>
          <t>https://www.praxisplan.at/suche?name=&amp;specialization=71&amp;zip=&amp;gender=&amp;diploma=&amp;specialty=&amp;insurance=&amp;vaccine=&amp;locale=</t>
        </is>
      </c>
      <c r="P64" t="inlineStr">
        <is>
          <t>Praxisplan</t>
        </is>
      </c>
      <c r="Q64" t="inlineStr"/>
      <c r="R64" t="inlineStr">
        <is>
          <t>Unknown</t>
        </is>
      </c>
      <c r="S64" t="inlineStr">
        <is>
          <t>3</t>
        </is>
      </c>
      <c r="T64" t="inlineStr">
        <is>
          <t>Public phone, vienna, high callback specialty</t>
        </is>
      </c>
      <c r="U64" t="inlineStr">
        <is>
          <t>Not contacted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No</t>
        </is>
      </c>
      <c r="AH64" t="inlineStr">
        <is>
          <t>No</t>
        </is>
      </c>
      <c r="AI64" t="inlineStr"/>
      <c r="AJ64" t="inlineStr">
        <is>
          <t>Unknown</t>
        </is>
      </c>
      <c r="AK64" t="inlineStr"/>
      <c r="AL64" t="inlineStr"/>
      <c r="AM64" t="inlineStr"/>
      <c r="AN64" t="inlineStr">
        <is>
          <t>2026-07-10</t>
        </is>
      </c>
    </row>
    <row r="65">
      <c r="A65" t="inlineStr">
        <is>
          <t>LEAD-0064</t>
        </is>
      </c>
      <c r="B65" t="inlineStr">
        <is>
          <t>Prim. Dr. Klaus Vavrik</t>
        </is>
      </c>
      <c r="C65" t="inlineStr">
        <is>
          <t>Prim. Dr.</t>
        </is>
      </c>
      <c r="D65" t="inlineStr"/>
      <c r="E65" t="inlineStr">
        <is>
          <t>Kinder- u. Jugendpsychiatrie</t>
        </is>
      </c>
      <c r="F65" t="inlineStr"/>
      <c r="G65" t="inlineStr">
        <is>
          <t>Hermanngasse 29</t>
        </is>
      </c>
      <c r="H65" t="inlineStr">
        <is>
          <t>1070</t>
        </is>
      </c>
      <c r="I65" t="inlineStr">
        <is>
          <t>Wien</t>
        </is>
      </c>
      <c r="J65" t="inlineStr">
        <is>
          <t>7. Bezirk – Neubau</t>
        </is>
      </c>
      <c r="K65" t="inlineStr">
        <is>
          <t>+43 676 524 29 11</t>
        </is>
      </c>
      <c r="L65" t="inlineStr"/>
      <c r="M65" t="inlineStr"/>
      <c r="N65" t="inlineStr">
        <is>
          <t>https://www.praxisplan.at/1691/klaus-vavrik/ordination/2</t>
        </is>
      </c>
      <c r="O65" t="inlineStr">
        <is>
          <t>https://www.praxisplan.at/suche?name=&amp;specialization=71&amp;zip=&amp;gender=&amp;diploma=&amp;specialty=&amp;insurance=&amp;vaccine=&amp;locale=</t>
        </is>
      </c>
      <c r="P65" t="inlineStr">
        <is>
          <t>Praxisplan</t>
        </is>
      </c>
      <c r="Q65" t="inlineStr"/>
      <c r="R65" t="inlineStr">
        <is>
          <t>Unknown</t>
        </is>
      </c>
      <c r="S65" t="inlineStr">
        <is>
          <t>3</t>
        </is>
      </c>
      <c r="T65" t="inlineStr">
        <is>
          <t>Public phone, vienna, high callback specialty</t>
        </is>
      </c>
      <c r="U65" t="inlineStr">
        <is>
          <t>Not contacted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No</t>
        </is>
      </c>
      <c r="AH65" t="inlineStr">
        <is>
          <t>No</t>
        </is>
      </c>
      <c r="AI65" t="inlineStr"/>
      <c r="AJ65" t="inlineStr">
        <is>
          <t>Unknown</t>
        </is>
      </c>
      <c r="AK65" t="inlineStr"/>
      <c r="AL65" t="inlineStr"/>
      <c r="AM65" t="inlineStr"/>
      <c r="AN65" t="inlineStr">
        <is>
          <t>2026-07-10</t>
        </is>
      </c>
    </row>
    <row r="66">
      <c r="A66" t="inlineStr">
        <is>
          <t>LEAD-0065</t>
        </is>
      </c>
      <c r="B66" t="inlineStr">
        <is>
          <t>Dr. Christine Vesely</t>
        </is>
      </c>
      <c r="C66" t="inlineStr">
        <is>
          <t>Dr.</t>
        </is>
      </c>
      <c r="D66" t="inlineStr"/>
      <c r="E66" t="inlineStr">
        <is>
          <t>Kinder- u. Jugendpsychiatrie</t>
        </is>
      </c>
      <c r="F66" t="inlineStr"/>
      <c r="G66" t="inlineStr">
        <is>
          <t>Kohlmarkt 12/12</t>
        </is>
      </c>
      <c r="H66" t="inlineStr">
        <is>
          <t>1010</t>
        </is>
      </c>
      <c r="I66" t="inlineStr">
        <is>
          <t>Wien</t>
        </is>
      </c>
      <c r="J66" t="inlineStr">
        <is>
          <t>1. Bezirk – Innere Stadt</t>
        </is>
      </c>
      <c r="K66" t="inlineStr">
        <is>
          <t>+43 664 350 66 94</t>
        </is>
      </c>
      <c r="L66" t="inlineStr"/>
      <c r="M66" t="inlineStr"/>
      <c r="N66" t="inlineStr">
        <is>
          <t>https://www.praxisplan.at/2256/christine-vesely/ordination/1</t>
        </is>
      </c>
      <c r="O66" t="inlineStr">
        <is>
          <t>https://www.praxisplan.at/suche?name=&amp;specialization=71&amp;zip=&amp;gender=&amp;diploma=&amp;specialty=&amp;insurance=&amp;vaccine=&amp;locale=</t>
        </is>
      </c>
      <c r="P66" t="inlineStr">
        <is>
          <t>Praxisplan</t>
        </is>
      </c>
      <c r="Q66" t="inlineStr"/>
      <c r="R66" t="inlineStr">
        <is>
          <t>Unknown</t>
        </is>
      </c>
      <c r="S66" t="inlineStr">
        <is>
          <t>3</t>
        </is>
      </c>
      <c r="T66" t="inlineStr">
        <is>
          <t>Public phone, vienna, high callback specialty</t>
        </is>
      </c>
      <c r="U66" t="inlineStr">
        <is>
          <t>Not contacted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No</t>
        </is>
      </c>
      <c r="AH66" t="inlineStr">
        <is>
          <t>No</t>
        </is>
      </c>
      <c r="AI66" t="inlineStr"/>
      <c r="AJ66" t="inlineStr">
        <is>
          <t>Unknown</t>
        </is>
      </c>
      <c r="AK66" t="inlineStr"/>
      <c r="AL66" t="inlineStr"/>
      <c r="AM66" t="inlineStr"/>
      <c r="AN66" t="inlineStr">
        <is>
          <t>2026-07-10</t>
        </is>
      </c>
    </row>
    <row r="67">
      <c r="A67" t="inlineStr">
        <is>
          <t>LEAD-0066</t>
        </is>
      </c>
      <c r="B67" t="inlineStr">
        <is>
          <t>Dr. Birgit Amanda Weigl-Vlastos</t>
        </is>
      </c>
      <c r="C67" t="inlineStr">
        <is>
          <t>Dr.</t>
        </is>
      </c>
      <c r="D67" t="inlineStr"/>
      <c r="E67" t="inlineStr">
        <is>
          <t>Kinder- u. Jugendpsychiatrie (alle Kassen)</t>
        </is>
      </c>
      <c r="F67" t="inlineStr"/>
      <c r="G67" t="inlineStr">
        <is>
          <t>wieder geöffnet am 13.07.</t>
        </is>
      </c>
      <c r="H67" t="inlineStr">
        <is>
          <t>2026</t>
        </is>
      </c>
      <c r="I67" t="inlineStr">
        <is>
          <t>: 15.00 - 19.00 Uhr</t>
        </is>
      </c>
      <c r="J67" t="inlineStr"/>
      <c r="K67" t="inlineStr">
        <is>
          <t>+43 1 406 43 35</t>
        </is>
      </c>
      <c r="L67" t="inlineStr"/>
      <c r="M67" t="inlineStr"/>
      <c r="N67" t="inlineStr">
        <is>
          <t>https://www.praxisplan.at/1787/birgit-amanda-weigl-vlastos/ordination/1</t>
        </is>
      </c>
      <c r="O67" t="inlineStr">
        <is>
          <t>https://www.praxisplan.at/suche?name=&amp;specialization=71&amp;zip=&amp;gender=&amp;diploma=&amp;specialty=&amp;insurance=&amp;vaccine=&amp;locale=</t>
        </is>
      </c>
      <c r="P67" t="inlineStr">
        <is>
          <t>Praxisplan</t>
        </is>
      </c>
      <c r="Q67" t="inlineStr"/>
      <c r="R67" t="inlineStr">
        <is>
          <t>Unknown</t>
        </is>
      </c>
      <c r="S67" t="inlineStr">
        <is>
          <t>2</t>
        </is>
      </c>
      <c r="T67" t="inlineStr">
        <is>
          <t>Public phone, high callback specialty</t>
        </is>
      </c>
      <c r="U67" t="inlineStr">
        <is>
          <t>Not contacted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No</t>
        </is>
      </c>
      <c r="AH67" t="inlineStr">
        <is>
          <t>No</t>
        </is>
      </c>
      <c r="AI67" t="inlineStr"/>
      <c r="AJ67" t="inlineStr">
        <is>
          <t>Unknown</t>
        </is>
      </c>
      <c r="AK67" t="inlineStr"/>
      <c r="AL67" t="inlineStr"/>
      <c r="AM67" t="inlineStr"/>
      <c r="AN67" t="inlineStr">
        <is>
          <t>2026-07-10</t>
        </is>
      </c>
    </row>
    <row r="68">
      <c r="A68" t="inlineStr">
        <is>
          <t>LEAD-0067</t>
        </is>
      </c>
      <c r="B68" t="inlineStr">
        <is>
          <t>Dr. Valentin Wollenek</t>
        </is>
      </c>
      <c r="C68" t="inlineStr">
        <is>
          <t>Dr.</t>
        </is>
      </c>
      <c r="D68" t="inlineStr"/>
      <c r="E68" t="inlineStr">
        <is>
          <t>Kinder- u. Jugendpsychiatrie u. Psychotherapeutische Medizin</t>
        </is>
      </c>
      <c r="F68" t="inlineStr"/>
      <c r="G68" t="inlineStr">
        <is>
          <t>Skodagasse 21/9</t>
        </is>
      </c>
      <c r="H68" t="inlineStr">
        <is>
          <t>1080</t>
        </is>
      </c>
      <c r="I68" t="inlineStr">
        <is>
          <t>Wien</t>
        </is>
      </c>
      <c r="J68" t="inlineStr">
        <is>
          <t>8. Bezirk – Josefstadt</t>
        </is>
      </c>
      <c r="K68" t="inlineStr">
        <is>
          <t>+43 676 560 10 35</t>
        </is>
      </c>
      <c r="L68" t="inlineStr"/>
      <c r="M68" t="inlineStr"/>
      <c r="N68" t="inlineStr">
        <is>
          <t>https://www.praxisplan.at/11888/valentin-wollenek/ordination/1</t>
        </is>
      </c>
      <c r="O68" t="inlineStr">
        <is>
          <t>https://www.praxisplan.at/suche?name=&amp;specialization=71&amp;zip=&amp;gender=&amp;diploma=&amp;specialty=&amp;insurance=&amp;vaccine=&amp;locale=</t>
        </is>
      </c>
      <c r="P68" t="inlineStr">
        <is>
          <t>Praxisplan</t>
        </is>
      </c>
      <c r="Q68" t="inlineStr"/>
      <c r="R68" t="inlineStr">
        <is>
          <t>Unknown</t>
        </is>
      </c>
      <c r="S68" t="inlineStr">
        <is>
          <t>3</t>
        </is>
      </c>
      <c r="T68" t="inlineStr">
        <is>
          <t>Public phone, vienna, high callback specialty</t>
        </is>
      </c>
      <c r="U68" t="inlineStr">
        <is>
          <t>Not contacted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No</t>
        </is>
      </c>
      <c r="AH68" t="inlineStr">
        <is>
          <t>No</t>
        </is>
      </c>
      <c r="AI68" t="inlineStr"/>
      <c r="AJ68" t="inlineStr">
        <is>
          <t>Unknown</t>
        </is>
      </c>
      <c r="AK68" t="inlineStr"/>
      <c r="AL68" t="inlineStr"/>
      <c r="AM68" t="inlineStr"/>
      <c r="AN68" t="inlineStr">
        <is>
          <t>2026-07-10</t>
        </is>
      </c>
    </row>
    <row r="69">
      <c r="A69" t="inlineStr">
        <is>
          <t>LEAD-0068</t>
        </is>
      </c>
      <c r="B69" t="inlineStr">
        <is>
          <t>Dr. Esther Wurm</t>
        </is>
      </c>
      <c r="C69" t="inlineStr">
        <is>
          <t>Dr.</t>
        </is>
      </c>
      <c r="D69" t="inlineStr"/>
      <c r="E69" t="inlineStr">
        <is>
          <t>Kinder- u. Jugendpsychiatrie (alle Kassen)</t>
        </is>
      </c>
      <c r="F69" t="inlineStr"/>
      <c r="G69" t="inlineStr">
        <is>
          <t>St.-Veit-Gasse 33A/1</t>
        </is>
      </c>
      <c r="H69" t="inlineStr">
        <is>
          <t>1130</t>
        </is>
      </c>
      <c r="I69" t="inlineStr">
        <is>
          <t>Wien</t>
        </is>
      </c>
      <c r="J69" t="inlineStr">
        <is>
          <t>13. Bezirk – Hietzing</t>
        </is>
      </c>
      <c r="K69" t="inlineStr">
        <is>
          <t>+43 1 361 01 09</t>
        </is>
      </c>
      <c r="L69" t="inlineStr"/>
      <c r="M69" t="inlineStr"/>
      <c r="N69" t="inlineStr">
        <is>
          <t>https://www.praxisplan.at/7772/esther-wurm/ordination/1</t>
        </is>
      </c>
      <c r="O69" t="inlineStr">
        <is>
          <t>https://www.praxisplan.at/suche?name=&amp;specialization=71&amp;zip=&amp;gender=&amp;diploma=&amp;specialty=&amp;insurance=&amp;vaccine=&amp;locale=</t>
        </is>
      </c>
      <c r="P69" t="inlineStr">
        <is>
          <t>Praxisplan</t>
        </is>
      </c>
      <c r="Q69" t="inlineStr"/>
      <c r="R69" t="inlineStr">
        <is>
          <t>Unknown</t>
        </is>
      </c>
      <c r="S69" t="inlineStr">
        <is>
          <t>3</t>
        </is>
      </c>
      <c r="T69" t="inlineStr">
        <is>
          <t>Public phone, vienna, high callback specialty</t>
        </is>
      </c>
      <c r="U69" t="inlineStr">
        <is>
          <t>Not contacted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No</t>
        </is>
      </c>
      <c r="AH69" t="inlineStr">
        <is>
          <t>No</t>
        </is>
      </c>
      <c r="AI69" t="inlineStr"/>
      <c r="AJ69" t="inlineStr">
        <is>
          <t>Unknown</t>
        </is>
      </c>
      <c r="AK69" t="inlineStr"/>
      <c r="AL69" t="inlineStr"/>
      <c r="AM69" t="inlineStr"/>
      <c r="AN69" t="inlineStr">
        <is>
          <t>2026-07-10</t>
        </is>
      </c>
    </row>
    <row r="70">
      <c r="A70" t="inlineStr">
        <is>
          <t>LEAD-0069</t>
        </is>
      </c>
      <c r="B70" t="inlineStr">
        <is>
          <t>Dr. Heidi Zesch</t>
        </is>
      </c>
      <c r="C70" t="inlineStr">
        <is>
          <t>Dr.</t>
        </is>
      </c>
      <c r="D70" t="inlineStr"/>
      <c r="E70" t="inlineStr">
        <is>
          <t>Kinder- u. Jugendpsychiatrie</t>
        </is>
      </c>
      <c r="F70" t="inlineStr"/>
      <c r="G70" t="inlineStr">
        <is>
          <t>Vitusgasse 9/2</t>
        </is>
      </c>
      <c r="H70" t="inlineStr">
        <is>
          <t>1130</t>
        </is>
      </c>
      <c r="I70" t="inlineStr">
        <is>
          <t>Wien</t>
        </is>
      </c>
      <c r="J70" t="inlineStr">
        <is>
          <t>13. Bezirk – Hietzing</t>
        </is>
      </c>
      <c r="K70" t="inlineStr">
        <is>
          <t>+43 1 876 24 74</t>
        </is>
      </c>
      <c r="L70" t="inlineStr"/>
      <c r="M70" t="inlineStr"/>
      <c r="N70" t="inlineStr">
        <is>
          <t>https://www.praxisplan.at/4858/heidi-zesch/ordination/1</t>
        </is>
      </c>
      <c r="O70" t="inlineStr">
        <is>
          <t>https://www.praxisplan.at/suche?name=&amp;specialization=71&amp;zip=&amp;gender=&amp;diploma=&amp;specialty=&amp;insurance=&amp;vaccine=&amp;locale=</t>
        </is>
      </c>
      <c r="P70" t="inlineStr">
        <is>
          <t>Praxisplan</t>
        </is>
      </c>
      <c r="Q70" t="inlineStr"/>
      <c r="R70" t="inlineStr">
        <is>
          <t>Unknown</t>
        </is>
      </c>
      <c r="S70" t="inlineStr">
        <is>
          <t>3</t>
        </is>
      </c>
      <c r="T70" t="inlineStr">
        <is>
          <t>Public phone, vienna, high callback specialty</t>
        </is>
      </c>
      <c r="U70" t="inlineStr">
        <is>
          <t>Not contacted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No</t>
        </is>
      </c>
      <c r="AH70" t="inlineStr">
        <is>
          <t>No</t>
        </is>
      </c>
      <c r="AI70" t="inlineStr"/>
      <c r="AJ70" t="inlineStr">
        <is>
          <t>Unknown</t>
        </is>
      </c>
      <c r="AK70" t="inlineStr"/>
      <c r="AL70" t="inlineStr"/>
      <c r="AM70" t="inlineStr"/>
      <c r="AN70" t="inlineStr">
        <is>
          <t>2026-07-10</t>
        </is>
      </c>
    </row>
    <row r="71">
      <c r="A71" t="inlineStr">
        <is>
          <t>LEAD-0070</t>
        </is>
      </c>
      <c r="B71" t="inlineStr">
        <is>
          <t>Dr. Karoline Christina Zuparic-Schlick</t>
        </is>
      </c>
      <c r="C71" t="inlineStr">
        <is>
          <t>Dr.</t>
        </is>
      </c>
      <c r="D71" t="inlineStr"/>
      <c r="E71" t="inlineStr">
        <is>
          <t>Kinder- u. Jugendpsychiatrie u. Psychotherapeutische Medizin</t>
        </is>
      </c>
      <c r="F71" t="inlineStr"/>
      <c r="G71" t="inlineStr">
        <is>
          <t>Alser Straße 71</t>
        </is>
      </c>
      <c r="H71" t="inlineStr">
        <is>
          <t>1080</t>
        </is>
      </c>
      <c r="I71" t="inlineStr">
        <is>
          <t>Wien</t>
        </is>
      </c>
      <c r="J71" t="inlineStr">
        <is>
          <t>8. Bezirk – Josefstadt</t>
        </is>
      </c>
      <c r="K71" t="inlineStr">
        <is>
          <t>+43 677 623 213 58</t>
        </is>
      </c>
      <c r="L71" t="inlineStr"/>
      <c r="M71" t="inlineStr"/>
      <c r="N71" t="inlineStr">
        <is>
          <t>https://www.praxisplan.at/8075/karoline-christina-zuparic-schlick/ordination/1</t>
        </is>
      </c>
      <c r="O71" t="inlineStr">
        <is>
          <t>https://www.praxisplan.at/suche?name=&amp;specialization=71&amp;zip=&amp;gender=&amp;diploma=&amp;specialty=&amp;insurance=&amp;vaccine=&amp;locale=</t>
        </is>
      </c>
      <c r="P71" t="inlineStr">
        <is>
          <t>Praxisplan</t>
        </is>
      </c>
      <c r="Q71" t="inlineStr"/>
      <c r="R71" t="inlineStr">
        <is>
          <t>Unknown</t>
        </is>
      </c>
      <c r="S71" t="inlineStr">
        <is>
          <t>3</t>
        </is>
      </c>
      <c r="T71" t="inlineStr">
        <is>
          <t>Public phone, vienna, high callback specialty</t>
        </is>
      </c>
      <c r="U71" t="inlineStr">
        <is>
          <t>Not contacted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No</t>
        </is>
      </c>
      <c r="AH71" t="inlineStr">
        <is>
          <t>No</t>
        </is>
      </c>
      <c r="AI71" t="inlineStr"/>
      <c r="AJ71" t="inlineStr">
        <is>
          <t>Unknown</t>
        </is>
      </c>
      <c r="AK71" t="inlineStr"/>
      <c r="AL71" t="inlineStr"/>
      <c r="AM71" t="inlineStr"/>
      <c r="AN71" t="inlineStr">
        <is>
          <t>2026-07-10</t>
        </is>
      </c>
    </row>
  </sheetData>
  <autoFilter ref="A1:AN1"/>
  <dataValidations count="9">
    <dataValidation sqref="U2:U2000" showErrorMessage="1" showDropDown="0" showInputMessage="1" allowBlank="1" type="list">
      <formula1>"Not contacted,Called,No answer,Reception reached,Asked to send email,Email sent,Follow-up needed,Demo offered,Demo booked,Interested,Not interested,Wrong target,Do not contact"</formula1>
    </dataValidation>
    <dataValidation sqref="W2:W2000" showErrorMessage="1" showDropDown="0" showInputMessage="1" allowBlank="1" type="list">
      <formula1>"No answer,Busy,Reception reached,Doctor unavailable,Asked to send email,Interested,Not interested,Call later,Demo booked"</formula1>
    </dataValidation>
    <dataValidation sqref="Y2:Y2000" showErrorMessage="1" showDropDown="0" showInputMessage="1" allowBlank="1" type="list">
      <formula1>"No answer,Busy,Reception reached,Doctor unavailable,Asked to send email,Interested,Not interested,Call later,Demo booked"</formula1>
    </dataValidation>
    <dataValidation sqref="AA2:AA2000" showErrorMessage="1" showDropDown="0" showInputMessage="1" allowBlank="1" type="list">
      <formula1>"Not sent,Sent,Replied interested,Replied not interested,No reply,Bounced"</formula1>
    </dataValidation>
    <dataValidation sqref="AC2:AC2000" showErrorMessage="1" showDropDown="0" showInputMessage="1" allowBlank="1" type="list">
      <formula1>"Not visited,Left flyer,Reception conversation,Doctor conversation,Asked to email,Demo booked,Not interested"</formula1>
    </dataValidation>
    <dataValidation sqref="AG2:AG2000" showErrorMessage="1" showDropDown="0" showInputMessage="1" allowBlank="1" type="list">
      <formula1>"Yes,No"</formula1>
    </dataValidation>
    <dataValidation sqref="AH2:AH2000" showErrorMessage="1" showDropDown="0" showInputMessage="1" allowBlank="1" type="list">
      <formula1>"Yes,No"</formula1>
    </dataValidation>
    <dataValidation sqref="AJ2:AJ2000" showErrorMessage="1" showDropDown="0" showInputMessage="1" allowBlank="1" type="list">
      <formula1>"Unknown,Low,Medium,High,Not interested"</formula1>
    </dataValidation>
    <dataValidation sqref="S2:S2000" showErrorMessage="1" showDropDown="0" showInputMessage="1" allowBlank="1" type="list">
      <formula1>"1,2,3,4,5"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</cols>
  <sheetData>
    <row r="1">
      <c r="A1" s="2" t="inlineStr">
        <is>
          <t>Metric</t>
        </is>
      </c>
      <c r="B1" t="inlineStr">
        <is>
          <t>Count</t>
        </is>
      </c>
    </row>
    <row r="2">
      <c r="A2" s="3" t="inlineStr">
        <is>
          <t>Total leads</t>
        </is>
      </c>
      <c r="B2">
        <f>COUNTA(Leads!A2:A2000)</f>
        <v/>
      </c>
    </row>
    <row r="3">
      <c r="A3" s="3" t="inlineStr">
        <is>
          <t>Phone available</t>
        </is>
      </c>
      <c r="B3">
        <f>COUNTIF(Leads!K2:K2000,"?*")</f>
        <v/>
      </c>
    </row>
    <row r="4">
      <c r="A4" s="3" t="inlineStr">
        <is>
          <t>Email available</t>
        </is>
      </c>
      <c r="B4">
        <f>COUNTIF(Leads!L2:L2000,"?*")</f>
        <v/>
      </c>
    </row>
    <row r="5">
      <c r="A5" s="3" t="inlineStr">
        <is>
          <t>Website available</t>
        </is>
      </c>
      <c r="B5">
        <f>COUNTIF(Leads!M2:M2000,"?*")</f>
        <v/>
      </c>
    </row>
    <row r="6">
      <c r="A6" s="3" t="inlineStr">
        <is>
          <t>Not contacted</t>
        </is>
      </c>
      <c r="B6">
        <f>COUNTIF(Leads!U2:U2000,"Not contacted")</f>
        <v/>
      </c>
    </row>
    <row r="7">
      <c r="A7" s="3" t="inlineStr">
        <is>
          <t>Called</t>
        </is>
      </c>
      <c r="B7">
        <f>COUNTIF(Leads!U2:U2000,"Called")</f>
        <v/>
      </c>
    </row>
    <row r="8">
      <c r="A8" s="3" t="inlineStr">
        <is>
          <t>Demo booked</t>
        </is>
      </c>
      <c r="B8">
        <f>COUNTIF(Leads!AH2:AH2000,"Yes")</f>
        <v/>
      </c>
    </row>
    <row r="9">
      <c r="A9" s="3" t="inlineStr">
        <is>
          <t>Interested</t>
        </is>
      </c>
      <c r="B9">
        <f>COUNTIF(Leads!U2:U2000,"Interested")</f>
        <v/>
      </c>
    </row>
    <row r="10">
      <c r="A10" s="3" t="inlineStr">
        <is>
          <t>Follow-up needed</t>
        </is>
      </c>
      <c r="B10">
        <f>COUNTIF(Leads!U2:U2000,"Follow-up needed")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2026-07-10T09:54:20Z</dcterms:created>
  <dcterms:modified xmlns:dcterms="http://purl.org/dc/terms/" xmlns:xsi="http://www.w3.org/2001/XMLSchema-instance" xsi:type="dcterms:W3CDTF">2026-07-10T09:54:20Z</dcterms:modified>
</cp:coreProperties>
</file>