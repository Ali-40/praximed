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1" t="inlineStr">
        <is>
          <t>Lead ID</t>
        </is>
      </c>
      <c r="B1" s="1" t="inlineStr">
        <is>
          <t>Specialty Tier</t>
        </is>
      </c>
      <c r="C1" s="1" t="inlineStr">
        <is>
          <t>Specialty Key</t>
        </is>
      </c>
      <c r="D1" s="1" t="inlineStr">
        <is>
          <t>Specialty Label DE</t>
        </is>
      </c>
      <c r="E1" s="1" t="inlineStr">
        <is>
          <t>Specialty Label EN</t>
        </is>
      </c>
      <c r="F1" s="1" t="inlineStr">
        <is>
          <t>Doctor Name</t>
        </is>
      </c>
      <c r="G1" s="1" t="inlineStr">
        <is>
          <t>Title</t>
        </is>
      </c>
      <c r="H1" s="1" t="inlineStr">
        <is>
          <t>Practice Name</t>
        </is>
      </c>
      <c r="I1" s="1" t="inlineStr">
        <is>
          <t>Specialty</t>
        </is>
      </c>
      <c r="J1" s="1" t="inlineStr">
        <is>
          <t>Sub-specialty / Notes from Listing</t>
        </is>
      </c>
      <c r="K1" s="1" t="inlineStr">
        <is>
          <t>Address</t>
        </is>
      </c>
      <c r="L1" s="1" t="inlineStr">
        <is>
          <t>Postal Code</t>
        </is>
      </c>
      <c r="M1" s="1" t="inlineStr">
        <is>
          <t>City</t>
        </is>
      </c>
      <c r="N1" s="1" t="inlineStr">
        <is>
          <t>District</t>
        </is>
      </c>
      <c r="O1" s="1" t="inlineStr">
        <is>
          <t>Phone</t>
        </is>
      </c>
      <c r="P1" s="1" t="inlineStr">
        <is>
          <t>Email</t>
        </is>
      </c>
      <c r="Q1" s="1" t="inlineStr">
        <is>
          <t>Website</t>
        </is>
      </c>
      <c r="R1" s="1" t="inlineStr">
        <is>
          <t>Praxisplan Profile URL</t>
        </is>
      </c>
      <c r="S1" s="1" t="inlineStr">
        <is>
          <t>Source URL</t>
        </is>
      </c>
      <c r="T1" s="1" t="inlineStr">
        <is>
          <t>Source</t>
        </is>
      </c>
      <c r="U1" s="1" t="inlineStr">
        <is>
          <t>Existing System Mentioned</t>
        </is>
      </c>
      <c r="V1" s="1" t="inlineStr">
        <is>
          <t>Likely LATIDO / Online Booking</t>
        </is>
      </c>
      <c r="W1" s="1" t="inlineStr">
        <is>
          <t>Priority Score</t>
        </is>
      </c>
      <c r="X1" s="1" t="inlineStr">
        <is>
          <t>Priority Reason</t>
        </is>
      </c>
      <c r="Y1" s="1" t="inlineStr">
        <is>
          <t>Outreach Status</t>
        </is>
      </c>
      <c r="Z1" s="1" t="inlineStr">
        <is>
          <t>Call Attempt 1 Date</t>
        </is>
      </c>
      <c r="AA1" s="1" t="inlineStr">
        <is>
          <t>Call Attempt 1 Result</t>
        </is>
      </c>
      <c r="AB1" s="1" t="inlineStr">
        <is>
          <t>Call Attempt 2 Date</t>
        </is>
      </c>
      <c r="AC1" s="1" t="inlineStr">
        <is>
          <t>Call Attempt 2 Result</t>
        </is>
      </c>
      <c r="AD1" s="1" t="inlineStr">
        <is>
          <t>Email Sent Date</t>
        </is>
      </c>
      <c r="AE1" s="1" t="inlineStr">
        <is>
          <t>Email Result</t>
        </is>
      </c>
      <c r="AF1" s="1" t="inlineStr">
        <is>
          <t>Walk-in Date</t>
        </is>
      </c>
      <c r="AG1" s="1" t="inlineStr">
        <is>
          <t>Walk-in Result</t>
        </is>
      </c>
      <c r="AH1" s="1" t="inlineStr">
        <is>
          <t>Contact Person</t>
        </is>
      </c>
      <c r="AI1" s="1" t="inlineStr">
        <is>
          <t>Best Time to Call</t>
        </is>
      </c>
      <c r="AJ1" s="1" t="inlineStr">
        <is>
          <t>Follow-up Date</t>
        </is>
      </c>
      <c r="AK1" s="1" t="inlineStr">
        <is>
          <t>Demo Offered</t>
        </is>
      </c>
      <c r="AL1" s="1" t="inlineStr">
        <is>
          <t>Demo Booked</t>
        </is>
      </c>
      <c r="AM1" s="1" t="inlineStr">
        <is>
          <t>Demo Date</t>
        </is>
      </c>
      <c r="AN1" s="1" t="inlineStr">
        <is>
          <t>Pilot Interest</t>
        </is>
      </c>
      <c r="AO1" s="1" t="inlineStr">
        <is>
          <t>Objection</t>
        </is>
      </c>
      <c r="AP1" s="1" t="inlineStr">
        <is>
          <t>Next Action</t>
        </is>
      </c>
      <c r="AQ1" s="1" t="inlineStr">
        <is>
          <t>Notes</t>
        </is>
      </c>
      <c r="AR1" s="1" t="inlineStr">
        <is>
          <t>Last Updated</t>
        </is>
      </c>
    </row>
    <row r="2">
      <c r="A2" t="inlineStr">
        <is>
          <t>LEAD-00900</t>
        </is>
      </c>
      <c r="B2" t="inlineStr">
        <is>
          <t>2</t>
        </is>
      </c>
      <c r="C2" t="inlineStr">
        <is>
          <t>ophthalmology</t>
        </is>
      </c>
      <c r="D2" t="inlineStr">
        <is>
          <t>Augenheilkunde u. Optometrie</t>
        </is>
      </c>
      <c r="E2" t="inlineStr">
        <is>
          <t>Ophthalmology</t>
        </is>
      </c>
      <c r="F2" t="inlineStr">
        <is>
          <t>Dr. Ahmad Abadi</t>
        </is>
      </c>
      <c r="G2" t="inlineStr">
        <is>
          <t>Dr.</t>
        </is>
      </c>
      <c r="H2" t="inlineStr"/>
      <c r="I2" t="inlineStr">
        <is>
          <t>Augenheilkunde u. Optometrie (alle Kassen)</t>
        </is>
      </c>
      <c r="J2" t="inlineStr"/>
      <c r="K2" t="inlineStr">
        <is>
          <t>wieder geöffnet am 13.07.</t>
        </is>
      </c>
      <c r="L2" t="inlineStr">
        <is>
          <t>2026</t>
        </is>
      </c>
      <c r="M2" t="inlineStr">
        <is>
          <t>: 12.00 - 19.00 Uhr</t>
        </is>
      </c>
      <c r="N2" t="inlineStr"/>
      <c r="O2" t="inlineStr">
        <is>
          <t>+43 1 545 21 51</t>
        </is>
      </c>
      <c r="P2" t="inlineStr"/>
      <c r="Q2" t="inlineStr"/>
      <c r="R2" t="inlineStr">
        <is>
          <t>https://www.praxisplan.at/5351/ahmad-abadi/ordination/1</t>
        </is>
      </c>
      <c r="S2" t="inlineStr">
        <is>
          <t>https://www.praxisplan.at/suche?name=&amp;specialization=2&amp;zip=&amp;gender=&amp;diploma=&amp;specialty=&amp;insurance=&amp;vaccine=&amp;locale=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2</t>
        </is>
      </c>
      <c r="X2" t="inlineStr">
        <is>
          <t>Public phone, tier 2 phone-available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LEAD-00901</t>
        </is>
      </c>
      <c r="B3" t="inlineStr">
        <is>
          <t>2</t>
        </is>
      </c>
      <c r="C3" t="inlineStr">
        <is>
          <t>ophthalmology</t>
        </is>
      </c>
      <c r="D3" t="inlineStr">
        <is>
          <t>Augenheilkunde u. Optometrie</t>
        </is>
      </c>
      <c r="E3" t="inlineStr">
        <is>
          <t>Ophthalmology</t>
        </is>
      </c>
      <c r="F3" t="inlineStr">
        <is>
          <t>Dr. Nadia Abdel Malek</t>
        </is>
      </c>
      <c r="G3" t="inlineStr">
        <is>
          <t>Dr.</t>
        </is>
      </c>
      <c r="H3" t="inlineStr"/>
      <c r="I3" t="inlineStr">
        <is>
          <t>Augenheilkunde u. Optometrie (alle Kassen)</t>
        </is>
      </c>
      <c r="J3" t="inlineStr"/>
      <c r="K3" t="inlineStr">
        <is>
          <t>wieder geöffnet am 13.07.</t>
        </is>
      </c>
      <c r="L3" t="inlineStr">
        <is>
          <t>2026</t>
        </is>
      </c>
      <c r="M3" t="inlineStr">
        <is>
          <t>: 09.00 - 13.00 Uhr</t>
        </is>
      </c>
      <c r="N3" t="inlineStr"/>
      <c r="O3" t="inlineStr">
        <is>
          <t>+43 1 606 50 30</t>
        </is>
      </c>
      <c r="P3" t="inlineStr"/>
      <c r="Q3" t="inlineStr"/>
      <c r="R3" t="inlineStr">
        <is>
          <t>https://www.praxisplan.at/4186/nadia-abdel-malek/ordination/1</t>
        </is>
      </c>
      <c r="S3" t="inlineStr">
        <is>
          <t>https://www.praxisplan.at/suche?name=&amp;specialization=2&amp;zip=&amp;gender=&amp;diploma=&amp;specialty=&amp;insurance=&amp;vaccine=&amp;locale=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2</t>
        </is>
      </c>
      <c r="X3" t="inlineStr">
        <is>
          <t>Public phone, tier 2 phone-available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LEAD-00902</t>
        </is>
      </c>
      <c r="B4" t="inlineStr">
        <is>
          <t>2</t>
        </is>
      </c>
      <c r="C4" t="inlineStr">
        <is>
          <t>ophthalmology</t>
        </is>
      </c>
      <c r="D4" t="inlineStr">
        <is>
          <t>Augenheilkunde u. Optometrie</t>
        </is>
      </c>
      <c r="E4" t="inlineStr">
        <is>
          <t>Ophthalmology</t>
        </is>
      </c>
      <c r="F4" t="inlineStr">
        <is>
          <t>Ao.Univ.Prof. Dr. Claudette Abela-Formanek</t>
        </is>
      </c>
      <c r="G4" t="inlineStr"/>
      <c r="H4" t="inlineStr"/>
      <c r="I4" t="inlineStr">
        <is>
          <t>Augenheilkunde u. Optometrie (BVAEB, KFA, SVS)</t>
        </is>
      </c>
      <c r="J4" t="inlineStr"/>
      <c r="K4" t="inlineStr">
        <is>
          <t>wieder geöffnet am 15.07.</t>
        </is>
      </c>
      <c r="L4" t="inlineStr">
        <is>
          <t>2026</t>
        </is>
      </c>
      <c r="M4" t="inlineStr">
        <is>
          <t>: 14.00 - 18.00 Uhr</t>
        </is>
      </c>
      <c r="N4" t="inlineStr"/>
      <c r="O4" t="inlineStr">
        <is>
          <t>+43 1 367 09 65</t>
        </is>
      </c>
      <c r="P4" t="inlineStr"/>
      <c r="Q4" t="inlineStr"/>
      <c r="R4" t="inlineStr">
        <is>
          <t>https://www.praxisplan.at/3887/claudette-abela-formanek/ordination/1</t>
        </is>
      </c>
      <c r="S4" t="inlineStr">
        <is>
          <t>https://www.praxisplan.at/suche?name=&amp;specialization=2&amp;zip=&amp;gender=&amp;diploma=&amp;specialty=&amp;insurance=&amp;vaccine=&amp;locale=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2</t>
        </is>
      </c>
      <c r="X4" t="inlineStr">
        <is>
          <t>Public phone, tier 2 phone-available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LEAD-00903</t>
        </is>
      </c>
      <c r="B5" t="inlineStr">
        <is>
          <t>2</t>
        </is>
      </c>
      <c r="C5" t="inlineStr">
        <is>
          <t>ophthalmology</t>
        </is>
      </c>
      <c r="D5" t="inlineStr">
        <is>
          <t>Augenheilkunde u. Optometrie</t>
        </is>
      </c>
      <c r="E5" t="inlineStr">
        <is>
          <t>Ophthalmology</t>
        </is>
      </c>
      <c r="F5" t="inlineStr">
        <is>
          <t>Dr. Tina Aggermann</t>
        </is>
      </c>
      <c r="G5" t="inlineStr">
        <is>
          <t>Dr.</t>
        </is>
      </c>
      <c r="H5" t="inlineStr"/>
      <c r="I5" t="inlineStr">
        <is>
          <t>Augenheilkunde u. Optometrie (alle Kassen)</t>
        </is>
      </c>
      <c r="J5" t="inlineStr"/>
      <c r="K5" t="inlineStr">
        <is>
          <t>wieder geöffnet am 13.07.</t>
        </is>
      </c>
      <c r="L5" t="inlineStr">
        <is>
          <t>2026</t>
        </is>
      </c>
      <c r="M5" t="inlineStr">
        <is>
          <t>: 13.00 - 20.00 Uhr</t>
        </is>
      </c>
      <c r="N5" t="inlineStr"/>
      <c r="O5" t="inlineStr">
        <is>
          <t>+43 1 983 52 83</t>
        </is>
      </c>
      <c r="P5" t="inlineStr"/>
      <c r="Q5" t="inlineStr"/>
      <c r="R5" t="inlineStr">
        <is>
          <t>https://www.praxisplan.at/5911/tina-aggermann/ordination/1</t>
        </is>
      </c>
      <c r="S5" t="inlineStr">
        <is>
          <t>https://www.praxisplan.at/suche?name=&amp;specialization=2&amp;zip=&amp;gender=&amp;diploma=&amp;specialty=&amp;insurance=&amp;vaccine=&amp;locale=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2</t>
        </is>
      </c>
      <c r="X5" t="inlineStr">
        <is>
          <t>Public phone, tier 2 phone-available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LEAD-00904</t>
        </is>
      </c>
      <c r="B6" t="inlineStr">
        <is>
          <t>2</t>
        </is>
      </c>
      <c r="C6" t="inlineStr">
        <is>
          <t>ophthalmology</t>
        </is>
      </c>
      <c r="D6" t="inlineStr">
        <is>
          <t>Augenheilkunde u. Optometrie</t>
        </is>
      </c>
      <c r="E6" t="inlineStr">
        <is>
          <t>Ophthalmology</t>
        </is>
      </c>
      <c r="F6" t="inlineStr">
        <is>
          <t>Dr. Daniel Ahmed-Balestra</t>
        </is>
      </c>
      <c r="G6" t="inlineStr">
        <is>
          <t>Dr.</t>
        </is>
      </c>
      <c r="H6" t="inlineStr"/>
      <c r="I6" t="inlineStr">
        <is>
          <t>Augenheilkunde u. Optometrie (KFA)</t>
        </is>
      </c>
      <c r="J6" t="inlineStr"/>
      <c r="K6" t="inlineStr">
        <is>
          <t>Rinnböckstraße 35-43/16/5</t>
        </is>
      </c>
      <c r="L6" t="inlineStr">
        <is>
          <t>1110</t>
        </is>
      </c>
      <c r="M6" t="inlineStr">
        <is>
          <t>Wien</t>
        </is>
      </c>
      <c r="N6" t="inlineStr">
        <is>
          <t>11. Bezirk – Simmering</t>
        </is>
      </c>
      <c r="O6" t="inlineStr">
        <is>
          <t>+43 1 749 68 16</t>
        </is>
      </c>
      <c r="P6" t="inlineStr"/>
      <c r="Q6" t="inlineStr"/>
      <c r="R6" t="inlineStr">
        <is>
          <t>https://www.praxisplan.at/10345/daniel-ahmed-balestra/ordination/1</t>
        </is>
      </c>
      <c r="S6" t="inlineStr">
        <is>
          <t>https://www.praxisplan.at/suche?name=&amp;specialization=2&amp;zip=&amp;gender=&amp;diploma=&amp;specialty=&amp;insurance=&amp;vaccine=&amp;locale=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3</t>
        </is>
      </c>
      <c r="X6" t="inlineStr">
        <is>
          <t>Public phone, vienna, tier 2 phone-available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LEAD-00905</t>
        </is>
      </c>
      <c r="B7" t="inlineStr">
        <is>
          <t>2</t>
        </is>
      </c>
      <c r="C7" t="inlineStr">
        <is>
          <t>ophthalmology</t>
        </is>
      </c>
      <c r="D7" t="inlineStr">
        <is>
          <t>Augenheilkunde u. Optometrie</t>
        </is>
      </c>
      <c r="E7" t="inlineStr">
        <is>
          <t>Ophthalmology</t>
        </is>
      </c>
      <c r="F7" t="inlineStr">
        <is>
          <t>Bgdr Dr. Michael W. Aichmair</t>
        </is>
      </c>
      <c r="G7" t="inlineStr"/>
      <c r="H7" t="inlineStr"/>
      <c r="I7" t="inlineStr">
        <is>
          <t>Augenheilkunde u. Optometrie</t>
        </is>
      </c>
      <c r="J7" t="inlineStr"/>
      <c r="K7" t="inlineStr">
        <is>
          <t>Gatterburggasse 6/1</t>
        </is>
      </c>
      <c r="L7" t="inlineStr">
        <is>
          <t>1190</t>
        </is>
      </c>
      <c r="M7" t="inlineStr">
        <is>
          <t>Wien</t>
        </is>
      </c>
      <c r="N7" t="inlineStr">
        <is>
          <t>19. Bezirk – Döbling</t>
        </is>
      </c>
      <c r="O7" t="inlineStr">
        <is>
          <t>+43 1 368 21 25 0</t>
        </is>
      </c>
      <c r="P7" t="inlineStr"/>
      <c r="Q7" t="inlineStr"/>
      <c r="R7" t="inlineStr">
        <is>
          <t>https://www.praxisplan.at/1427/michael-w-aichmair/ordination/1</t>
        </is>
      </c>
      <c r="S7" t="inlineStr">
        <is>
          <t>https://www.praxisplan.at/suche?name=&amp;specialization=2&amp;zip=&amp;gender=&amp;diploma=&amp;specialty=&amp;insurance=&amp;vaccine=&amp;locale=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3</t>
        </is>
      </c>
      <c r="X7" t="inlineStr">
        <is>
          <t>Public phone, vienna, tier 2 phone-available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LEAD-00906</t>
        </is>
      </c>
      <c r="B8" t="inlineStr">
        <is>
          <t>2</t>
        </is>
      </c>
      <c r="C8" t="inlineStr">
        <is>
          <t>ophthalmology</t>
        </is>
      </c>
      <c r="D8" t="inlineStr">
        <is>
          <t>Augenheilkunde u. Optometrie</t>
        </is>
      </c>
      <c r="E8" t="inlineStr">
        <is>
          <t>Ophthalmology</t>
        </is>
      </c>
      <c r="F8" t="inlineStr">
        <is>
          <t>Dr. Ammar Alkhalde</t>
        </is>
      </c>
      <c r="G8" t="inlineStr">
        <is>
          <t>Dr.</t>
        </is>
      </c>
      <c r="H8" t="inlineStr"/>
      <c r="I8" t="inlineStr">
        <is>
          <t>Augenheilkunde u. Optometrie (alle Kassen)</t>
        </is>
      </c>
      <c r="J8" t="inlineStr"/>
      <c r="K8" t="inlineStr">
        <is>
          <t>wieder geöffnet am 13.07.</t>
        </is>
      </c>
      <c r="L8" t="inlineStr">
        <is>
          <t>2026</t>
        </is>
      </c>
      <c r="M8" t="inlineStr">
        <is>
          <t>: 08.30 - 12.00 Uhr</t>
        </is>
      </c>
      <c r="N8" t="inlineStr"/>
      <c r="O8" t="inlineStr"/>
      <c r="P8" t="inlineStr"/>
      <c r="Q8" t="inlineStr"/>
      <c r="R8" t="inlineStr">
        <is>
          <t>https://www.praxisplan.at/19567/ammar-alkhalde/ordination/1</t>
        </is>
      </c>
      <c r="S8" t="inlineStr">
        <is>
          <t>https://www.praxisplan.at/suche?name=&amp;specialization=2&amp;zip=&amp;gender=&amp;diploma=&amp;specialty=&amp;insurance=&amp;vaccine=&amp;locale=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0</t>
        </is>
      </c>
      <c r="X8" t="inlineStr">
        <is>
          <t>Needs manual review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LEAD-00907</t>
        </is>
      </c>
      <c r="B9" t="inlineStr">
        <is>
          <t>2</t>
        </is>
      </c>
      <c r="C9" t="inlineStr">
        <is>
          <t>ophthalmology</t>
        </is>
      </c>
      <c r="D9" t="inlineStr">
        <is>
          <t>Augenheilkunde u. Optometrie</t>
        </is>
      </c>
      <c r="E9" t="inlineStr">
        <is>
          <t>Ophthalmology</t>
        </is>
      </c>
      <c r="F9" t="inlineStr">
        <is>
          <t>Dr. Alaa Almaalouli</t>
        </is>
      </c>
      <c r="G9" t="inlineStr">
        <is>
          <t>Dr.</t>
        </is>
      </c>
      <c r="H9" t="inlineStr"/>
      <c r="I9" t="inlineStr">
        <is>
          <t>Augenheilkunde u. Optometrie (alle Kassen)</t>
        </is>
      </c>
      <c r="J9" t="inlineStr"/>
      <c r="K9" t="inlineStr">
        <is>
          <t>wieder geöffnet am 13.07.</t>
        </is>
      </c>
      <c r="L9" t="inlineStr">
        <is>
          <t>2026</t>
        </is>
      </c>
      <c r="M9" t="inlineStr">
        <is>
          <t>: 14.00 - 19.00 Uhr</t>
        </is>
      </c>
      <c r="N9" t="inlineStr"/>
      <c r="O9" t="inlineStr">
        <is>
          <t>+43 1 726 88 66</t>
        </is>
      </c>
      <c r="P9" t="inlineStr"/>
      <c r="Q9" t="inlineStr"/>
      <c r="R9" t="inlineStr">
        <is>
          <t>https://www.praxisplan.at/13801/alaa-almaalouli/ordination/1</t>
        </is>
      </c>
      <c r="S9" t="inlineStr">
        <is>
          <t>https://www.praxisplan.at/suche?name=&amp;specialization=2&amp;zip=&amp;gender=&amp;diploma=&amp;specialty=&amp;insurance=&amp;vaccine=&amp;locale=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2</t>
        </is>
      </c>
      <c r="X9" t="inlineStr">
        <is>
          <t>Public phone, tier 2 phone-available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LEAD-00908</t>
        </is>
      </c>
      <c r="B10" t="inlineStr">
        <is>
          <t>2</t>
        </is>
      </c>
      <c r="C10" t="inlineStr">
        <is>
          <t>ophthalmology</t>
        </is>
      </c>
      <c r="D10" t="inlineStr">
        <is>
          <t>Augenheilkunde u. Optometrie</t>
        </is>
      </c>
      <c r="E10" t="inlineStr">
        <is>
          <t>Ophthalmology</t>
        </is>
      </c>
      <c r="F10" t="inlineStr">
        <is>
          <t>Dr. Sahand Amir-Asgari</t>
        </is>
      </c>
      <c r="G10" t="inlineStr">
        <is>
          <t>Dr.</t>
        </is>
      </c>
      <c r="H10" t="inlineStr"/>
      <c r="I10" t="inlineStr">
        <is>
          <t>Augenheilkunde u. Optometrie</t>
        </is>
      </c>
      <c r="J10" t="inlineStr"/>
      <c r="K10" t="inlineStr">
        <is>
          <t>Komödiengasse 1</t>
        </is>
      </c>
      <c r="L10" t="inlineStr">
        <is>
          <t>1020</t>
        </is>
      </c>
      <c r="M10" t="inlineStr">
        <is>
          <t>Wien</t>
        </is>
      </c>
      <c r="N10" t="inlineStr">
        <is>
          <t>2. Bezirk – Leopoldstadt</t>
        </is>
      </c>
      <c r="O10" t="inlineStr">
        <is>
          <t>+43 1 890 70 40</t>
        </is>
      </c>
      <c r="P10" t="inlineStr"/>
      <c r="Q10" t="inlineStr"/>
      <c r="R10" t="inlineStr">
        <is>
          <t>https://www.praxisplan.at/10696/sahand-amir-asgari/ordination/1</t>
        </is>
      </c>
      <c r="S10" t="inlineStr">
        <is>
          <t>https://www.praxisplan.at/suche?name=&amp;specialization=2&amp;zip=&amp;gender=&amp;diploma=&amp;specialty=&amp;insurance=&amp;vaccine=&amp;locale=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3</t>
        </is>
      </c>
      <c r="X10" t="inlineStr">
        <is>
          <t>Public phone, vienna, tier 2 phone-available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LEAD-00909</t>
        </is>
      </c>
      <c r="B11" t="inlineStr">
        <is>
          <t>2</t>
        </is>
      </c>
      <c r="C11" t="inlineStr">
        <is>
          <t>ophthalmology</t>
        </is>
      </c>
      <c r="D11" t="inlineStr">
        <is>
          <t>Augenheilkunde u. Optometrie</t>
        </is>
      </c>
      <c r="E11" t="inlineStr">
        <is>
          <t>Ophthalmology</t>
        </is>
      </c>
      <c r="F11" t="inlineStr">
        <is>
          <t>Dr. Arsine Amirian-Andriopoulos</t>
        </is>
      </c>
      <c r="G11" t="inlineStr">
        <is>
          <t>Dr.</t>
        </is>
      </c>
      <c r="H11" t="inlineStr"/>
      <c r="I11" t="inlineStr">
        <is>
          <t>Augenheilkunde u. Optometrie (alle Kassen)</t>
        </is>
      </c>
      <c r="J11" t="inlineStr"/>
      <c r="K11" t="inlineStr">
        <is>
          <t>wieder geöffnet am 13.07.</t>
        </is>
      </c>
      <c r="L11" t="inlineStr">
        <is>
          <t>2026</t>
        </is>
      </c>
      <c r="M11" t="inlineStr">
        <is>
          <t>: 13.00 - 18.00 Uhr</t>
        </is>
      </c>
      <c r="N11" t="inlineStr"/>
      <c r="O11" t="inlineStr">
        <is>
          <t>+43 1 285 867 00</t>
        </is>
      </c>
      <c r="P11" t="inlineStr"/>
      <c r="Q11" t="inlineStr"/>
      <c r="R11" t="inlineStr">
        <is>
          <t>https://www.praxisplan.at/18175/arsine-amirian-andriopoulos/ordination/1</t>
        </is>
      </c>
      <c r="S11" t="inlineStr">
        <is>
          <t>https://www.praxisplan.at/suche?name=&amp;specialization=2&amp;zip=&amp;gender=&amp;diploma=&amp;specialty=&amp;insurance=&amp;vaccine=&amp;locale=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2</t>
        </is>
      </c>
      <c r="X11" t="inlineStr">
        <is>
          <t>Public phone, tier 2 phone-available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LEAD-00910</t>
        </is>
      </c>
      <c r="B12" t="inlineStr">
        <is>
          <t>2</t>
        </is>
      </c>
      <c r="C12" t="inlineStr">
        <is>
          <t>ophthalmology</t>
        </is>
      </c>
      <c r="D12" t="inlineStr">
        <is>
          <t>Augenheilkunde u. Optometrie</t>
        </is>
      </c>
      <c r="E12" t="inlineStr">
        <is>
          <t>Ophthalmology</t>
        </is>
      </c>
      <c r="F12" t="inlineStr">
        <is>
          <t>Univ.Prof.Prim. Dr. Michael Amon</t>
        </is>
      </c>
      <c r="G12" t="inlineStr"/>
      <c r="H12" t="inlineStr"/>
      <c r="I12" t="inlineStr">
        <is>
          <t>Augenheilkunde u. Optometrie</t>
        </is>
      </c>
      <c r="J12" t="inlineStr"/>
      <c r="K12" t="inlineStr">
        <is>
          <t>Praterstraße 10/6</t>
        </is>
      </c>
      <c r="L12" t="inlineStr">
        <is>
          <t>1020</t>
        </is>
      </c>
      <c r="M12" t="inlineStr">
        <is>
          <t>Wien</t>
        </is>
      </c>
      <c r="N12" t="inlineStr">
        <is>
          <t>2. Bezirk – Leopoldstadt</t>
        </is>
      </c>
      <c r="O12" t="inlineStr">
        <is>
          <t>+43 1 406 99 97</t>
        </is>
      </c>
      <c r="P12" t="inlineStr"/>
      <c r="Q12" t="inlineStr"/>
      <c r="R12" t="inlineStr">
        <is>
          <t>https://www.praxisplan.at/1720/michael-amon/ordination/1</t>
        </is>
      </c>
      <c r="S12" t="inlineStr">
        <is>
          <t>https://www.praxisplan.at/suche?name=&amp;specialization=2&amp;zip=&amp;gender=&amp;diploma=&amp;specialty=&amp;insurance=&amp;vaccine=&amp;locale=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3</t>
        </is>
      </c>
      <c r="X12" t="inlineStr">
        <is>
          <t>Public phone, vienna, tier 2 phone-available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LEAD-00911</t>
        </is>
      </c>
      <c r="B13" t="inlineStr">
        <is>
          <t>2</t>
        </is>
      </c>
      <c r="C13" t="inlineStr">
        <is>
          <t>ophthalmology</t>
        </is>
      </c>
      <c r="D13" t="inlineStr">
        <is>
          <t>Augenheilkunde u. Optometrie</t>
        </is>
      </c>
      <c r="E13" t="inlineStr">
        <is>
          <t>Ophthalmology</t>
        </is>
      </c>
      <c r="F13" t="inlineStr">
        <is>
          <t>Univ.Prof.(SFPU) Dr. Siamak Ansari Shahrezaei</t>
        </is>
      </c>
      <c r="G13" t="inlineStr"/>
      <c r="H13" t="inlineStr"/>
      <c r="I13" t="inlineStr">
        <is>
          <t>Augenheilkunde u. Optometrie</t>
        </is>
      </c>
      <c r="J13" t="inlineStr"/>
      <c r="K13" t="inlineStr">
        <is>
          <t>Jacquingasse 41</t>
        </is>
      </c>
      <c r="L13" t="inlineStr">
        <is>
          <t>1030</t>
        </is>
      </c>
      <c r="M13" t="inlineStr">
        <is>
          <t>Wien</t>
        </is>
      </c>
      <c r="N13" t="inlineStr">
        <is>
          <t>3. Bezirk – Landstraße</t>
        </is>
      </c>
      <c r="O13" t="inlineStr">
        <is>
          <t>+43 1 890 61 48</t>
        </is>
      </c>
      <c r="P13" t="inlineStr"/>
      <c r="Q13" t="inlineStr"/>
      <c r="R13" t="inlineStr">
        <is>
          <t>https://www.praxisplan.at/5320/siamak-ansari-shahrezaei/ordination/1</t>
        </is>
      </c>
      <c r="S13" t="inlineStr">
        <is>
          <t>https://www.praxisplan.at/suche?name=&amp;specialization=2&amp;zip=&amp;gender=&amp;diploma=&amp;specialty=&amp;insurance=&amp;vaccine=&amp;locale=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3</t>
        </is>
      </c>
      <c r="X13" t="inlineStr">
        <is>
          <t>Public phone, vienna, tier 2 phone-available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LEAD-00912</t>
        </is>
      </c>
      <c r="B14" t="inlineStr">
        <is>
          <t>2</t>
        </is>
      </c>
      <c r="C14" t="inlineStr">
        <is>
          <t>ophthalmology</t>
        </is>
      </c>
      <c r="D14" t="inlineStr">
        <is>
          <t>Augenheilkunde u. Optometrie</t>
        </is>
      </c>
      <c r="E14" t="inlineStr">
        <is>
          <t>Ophthalmology</t>
        </is>
      </c>
      <c r="F14" t="inlineStr">
        <is>
          <t>Dr. Nadya Arnaout</t>
        </is>
      </c>
      <c r="G14" t="inlineStr">
        <is>
          <t>Dr.</t>
        </is>
      </c>
      <c r="H14" t="inlineStr"/>
      <c r="I14" t="inlineStr">
        <is>
          <t>Informationen zum*zur Ärzt*in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https://www.praxisplan.at/16430/nadya-arnaout</t>
        </is>
      </c>
      <c r="S14" t="inlineStr">
        <is>
          <t>https://www.praxisplan.at/suche?name=&amp;specialization=2&amp;zip=&amp;gender=&amp;diploma=&amp;specialty=&amp;insurance=&amp;vaccine=&amp;locale=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0</t>
        </is>
      </c>
      <c r="X14" t="inlineStr">
        <is>
          <t>Needs manual review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LEAD-00913</t>
        </is>
      </c>
      <c r="B15" t="inlineStr">
        <is>
          <t>2</t>
        </is>
      </c>
      <c r="C15" t="inlineStr">
        <is>
          <t>ophthalmology</t>
        </is>
      </c>
      <c r="D15" t="inlineStr">
        <is>
          <t>Augenheilkunde u. Optometrie</t>
        </is>
      </c>
      <c r="E15" t="inlineStr">
        <is>
          <t>Ophthalmology</t>
        </is>
      </c>
      <c r="F15" t="inlineStr">
        <is>
          <t>Dr. Jamal Atamniy</t>
        </is>
      </c>
      <c r="G15" t="inlineStr">
        <is>
          <t>Dr.</t>
        </is>
      </c>
      <c r="H15" t="inlineStr"/>
      <c r="I15" t="inlineStr">
        <is>
          <t>Augenheilkunde u. Optometrie (alle Kassen)</t>
        </is>
      </c>
      <c r="J15" t="inlineStr"/>
      <c r="K15" t="inlineStr">
        <is>
          <t>wieder geöffnet am 13.07.</t>
        </is>
      </c>
      <c r="L15" t="inlineStr">
        <is>
          <t>2026</t>
        </is>
      </c>
      <c r="M15" t="inlineStr">
        <is>
          <t>: 12.00 - 19.00 Uhr</t>
        </is>
      </c>
      <c r="N15" t="inlineStr"/>
      <c r="O15" t="inlineStr">
        <is>
          <t>+43 1 406 51 36</t>
        </is>
      </c>
      <c r="P15" t="inlineStr"/>
      <c r="Q15" t="inlineStr"/>
      <c r="R15" t="inlineStr">
        <is>
          <t>https://www.praxisplan.at/4564/jamal-atamniy/ordination/1</t>
        </is>
      </c>
      <c r="S15" t="inlineStr">
        <is>
          <t>https://www.praxisplan.at/suche?name=&amp;specialization=2&amp;zip=&amp;gender=&amp;diploma=&amp;specialty=&amp;insurance=&amp;vaccine=&amp;locale=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2</t>
        </is>
      </c>
      <c r="X15" t="inlineStr">
        <is>
          <t>Public phone, tier 2 phone-available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LEAD-00914</t>
        </is>
      </c>
      <c r="B16" t="inlineStr">
        <is>
          <t>2</t>
        </is>
      </c>
      <c r="C16" t="inlineStr">
        <is>
          <t>ophthalmology</t>
        </is>
      </c>
      <c r="D16" t="inlineStr">
        <is>
          <t>Augenheilkunde u. Optometrie</t>
        </is>
      </c>
      <c r="E16" t="inlineStr">
        <is>
          <t>Ophthalmology</t>
        </is>
      </c>
      <c r="F16" t="inlineStr">
        <is>
          <t>OMR Dr. Helga Azem</t>
        </is>
      </c>
      <c r="G16" t="inlineStr"/>
      <c r="H16" t="inlineStr"/>
      <c r="I16" t="inlineStr">
        <is>
          <t>Informationen zum*zur Ärzt*in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https://www.praxisplan.at/387/helga-azem</t>
        </is>
      </c>
      <c r="S16" t="inlineStr">
        <is>
          <t>https://www.praxisplan.at/suche?name=&amp;specialization=2&amp;zip=&amp;gender=&amp;diploma=&amp;specialty=&amp;insurance=&amp;vaccine=&amp;locale=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0</t>
        </is>
      </c>
      <c r="X16" t="inlineStr">
        <is>
          <t>Needs manual review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2" t="inlineStr">
        <is>
          <t>Metric</t>
        </is>
      </c>
      <c r="B1" t="inlineStr">
        <is>
          <t>Count</t>
        </is>
      </c>
    </row>
    <row r="2">
      <c r="A2" s="3" t="inlineStr">
        <is>
          <t>Total leads</t>
        </is>
      </c>
      <c r="B2">
        <f>COUNTA('Leads'!A2:A5000)</f>
        <v/>
      </c>
    </row>
    <row r="3">
      <c r="A3" s="3" t="inlineStr">
        <is>
          <t>Phone available</t>
        </is>
      </c>
      <c r="B3">
        <f>COUNTIF('Leads'!O2:O5000,"?*")</f>
        <v/>
      </c>
    </row>
    <row r="4">
      <c r="A4" s="3" t="inlineStr">
        <is>
          <t>Email available</t>
        </is>
      </c>
      <c r="B4">
        <f>COUNTIF('Leads'!P2:P5000,"?*")</f>
        <v/>
      </c>
    </row>
    <row r="5">
      <c r="A5" s="3" t="inlineStr">
        <is>
          <t>Website available</t>
        </is>
      </c>
      <c r="B5">
        <f>COUNTIF('Leads'!Q2:Q5000,"?*")</f>
        <v/>
      </c>
    </row>
    <row r="6">
      <c r="A6" s="3" t="inlineStr">
        <is>
          <t>Not contacted</t>
        </is>
      </c>
      <c r="B6">
        <f>COUNTIF('Leads'!Y2:Y5000,"Not contacted")</f>
        <v/>
      </c>
    </row>
    <row r="7">
      <c r="A7" s="3" t="inlineStr">
        <is>
          <t>Called</t>
        </is>
      </c>
      <c r="B7">
        <f>COUNTIF('Leads'!Y2:Y5000,"Called")</f>
        <v/>
      </c>
    </row>
    <row r="8">
      <c r="A8" s="3" t="inlineStr">
        <is>
          <t>Demo booked</t>
        </is>
      </c>
      <c r="B8">
        <f>COUNTIF('Leads'!AL2:AL5000,"Yes")</f>
        <v/>
      </c>
    </row>
    <row r="9">
      <c r="A9" s="3" t="inlineStr">
        <is>
          <t>Interested</t>
        </is>
      </c>
      <c r="B9">
        <f>COUNTIF('Leads'!Y2:Y5000,"Interested")</f>
        <v/>
      </c>
    </row>
    <row r="10">
      <c r="A10" s="3" t="inlineStr">
        <is>
          <t>Follow-up needed</t>
        </is>
      </c>
      <c r="B10">
        <f>COUNTIF('Leads'!Y2:Y5000,"Follow-up needed")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2026-07-10T10:30:21Z</dcterms:created>
  <dcterms:modified xmlns:dcterms="http://purl.org/dc/terms/" xmlns:xsi="http://www.w3.org/2001/XMLSchema-instance" xsi:type="dcterms:W3CDTF">2026-07-10T10:30:21Z</dcterms:modified>
</cp:coreProperties>
</file>