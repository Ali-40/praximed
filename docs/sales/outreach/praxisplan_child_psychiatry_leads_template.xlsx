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4" customWidth="1" min="4" max="4"/>
    <col width="34" customWidth="1" min="5" max="5"/>
    <col width="30" customWidth="1" min="6" max="6"/>
    <col width="32" customWidth="1" min="7" max="7"/>
    <col width="12" customWidth="1" min="8" max="8"/>
    <col width="14" customWidth="1" min="9" max="9"/>
    <col width="28" customWidth="1" min="10" max="10"/>
    <col width="20" customWidth="1" min="11" max="11"/>
    <col width="28" customWidth="1" min="12" max="12"/>
    <col width="30" customWidth="1" min="13" max="13"/>
    <col width="38" customWidth="1" min="14" max="14"/>
    <col width="20" customWidth="1" min="15" max="15"/>
    <col width="12" customWidth="1" min="16" max="16"/>
    <col width="22" customWidth="1" min="17" max="17"/>
    <col width="22" customWidth="1" min="18" max="18"/>
    <col width="14" customWidth="1" min="19" max="19"/>
    <col width="30" customWidth="1" min="20" max="20"/>
    <col width="22" customWidth="1" min="21" max="21"/>
    <col width="18" customWidth="1" min="22" max="22"/>
    <col width="22" customWidth="1" min="23" max="23"/>
    <col width="18" customWidth="1" min="24" max="24"/>
    <col width="22" customWidth="1" min="25" max="25"/>
    <col width="16" customWidth="1" min="26" max="26"/>
    <col width="20" customWidth="1" min="27" max="27"/>
    <col width="16" customWidth="1" min="28" max="28"/>
    <col width="22" customWidth="1" min="29" max="29"/>
    <col width="22" customWidth="1" min="30" max="30"/>
    <col width="18" customWidth="1" min="31" max="31"/>
    <col width="16" customWidth="1" min="32" max="32"/>
    <col width="14" customWidth="1" min="33" max="33"/>
    <col width="14" customWidth="1" min="34" max="34"/>
    <col width="14" customWidth="1" min="35" max="35"/>
    <col width="16" customWidth="1" min="36" max="36"/>
    <col width="30" customWidth="1" min="37" max="37"/>
    <col width="30" customWidth="1" min="38" max="38"/>
    <col width="40" customWidth="1" min="39" max="39"/>
    <col width="14" customWidth="1" min="40" max="40"/>
  </cols>
  <sheetData>
    <row r="1" ht="30" customHeight="1">
      <c r="A1" s="1" t="inlineStr">
        <is>
          <t>Lead ID</t>
        </is>
      </c>
      <c r="B1" s="1" t="inlineStr">
        <is>
          <t>Doctor Name</t>
        </is>
      </c>
      <c r="C1" s="1" t="inlineStr">
        <is>
          <t>Title</t>
        </is>
      </c>
      <c r="D1" s="1" t="inlineStr">
        <is>
          <t>Practice Name</t>
        </is>
      </c>
      <c r="E1" s="1" t="inlineStr">
        <is>
          <t>Specialty</t>
        </is>
      </c>
      <c r="F1" s="1" t="inlineStr">
        <is>
          <t>Sub-specialty / Notes from Listing</t>
        </is>
      </c>
      <c r="G1" s="1" t="inlineStr">
        <is>
          <t>Address</t>
        </is>
      </c>
      <c r="H1" s="1" t="inlineStr">
        <is>
          <t>Postal Code</t>
        </is>
      </c>
      <c r="I1" s="1" t="inlineStr">
        <is>
          <t>City</t>
        </is>
      </c>
      <c r="J1" s="1" t="inlineStr">
        <is>
          <t>District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Praxisplan Profile URL</t>
        </is>
      </c>
      <c r="O1" s="1" t="inlineStr">
        <is>
          <t>Source URL</t>
        </is>
      </c>
      <c r="P1" s="1" t="inlineStr">
        <is>
          <t>Source</t>
        </is>
      </c>
      <c r="Q1" s="1" t="inlineStr">
        <is>
          <t>Existing System Mentioned</t>
        </is>
      </c>
      <c r="R1" s="1" t="inlineStr">
        <is>
          <t>Likely LATIDO / Online Booking</t>
        </is>
      </c>
      <c r="S1" s="1" t="inlineStr">
        <is>
          <t>Priority Score</t>
        </is>
      </c>
      <c r="T1" s="1" t="inlineStr">
        <is>
          <t>Priority Reason</t>
        </is>
      </c>
      <c r="U1" s="1" t="inlineStr">
        <is>
          <t>Outreach Status</t>
        </is>
      </c>
      <c r="V1" s="1" t="inlineStr">
        <is>
          <t>Call Attempt 1 Date</t>
        </is>
      </c>
      <c r="W1" s="1" t="inlineStr">
        <is>
          <t>Call Attempt 1 Result</t>
        </is>
      </c>
      <c r="X1" s="1" t="inlineStr">
        <is>
          <t>Call Attempt 2 Date</t>
        </is>
      </c>
      <c r="Y1" s="1" t="inlineStr">
        <is>
          <t>Call Attempt 2 Result</t>
        </is>
      </c>
      <c r="Z1" s="1" t="inlineStr">
        <is>
          <t>Email Sent Date</t>
        </is>
      </c>
      <c r="AA1" s="1" t="inlineStr">
        <is>
          <t>Email Result</t>
        </is>
      </c>
      <c r="AB1" s="1" t="inlineStr">
        <is>
          <t>Walk-in Date</t>
        </is>
      </c>
      <c r="AC1" s="1" t="inlineStr">
        <is>
          <t>Walk-in Result</t>
        </is>
      </c>
      <c r="AD1" s="1" t="inlineStr">
        <is>
          <t>Contact Person</t>
        </is>
      </c>
      <c r="AE1" s="1" t="inlineStr">
        <is>
          <t>Best Time to Call</t>
        </is>
      </c>
      <c r="AF1" s="1" t="inlineStr">
        <is>
          <t>Follow-up Date</t>
        </is>
      </c>
      <c r="AG1" s="1" t="inlineStr">
        <is>
          <t>Demo Offered</t>
        </is>
      </c>
      <c r="AH1" s="1" t="inlineStr">
        <is>
          <t>Demo Booked</t>
        </is>
      </c>
      <c r="AI1" s="1" t="inlineStr">
        <is>
          <t>Demo Date</t>
        </is>
      </c>
      <c r="AJ1" s="1" t="inlineStr">
        <is>
          <t>Pilot Interest</t>
        </is>
      </c>
      <c r="AK1" s="1" t="inlineStr">
        <is>
          <t>Objection</t>
        </is>
      </c>
      <c r="AL1" s="1" t="inlineStr">
        <is>
          <t>Next Action</t>
        </is>
      </c>
      <c r="AM1" s="1" t="inlineStr">
        <is>
          <t>Notes</t>
        </is>
      </c>
      <c r="AN1" s="1" t="inlineStr">
        <is>
          <t>Last Updated</t>
        </is>
      </c>
    </row>
    <row r="2">
      <c r="A2" t="inlineStr">
        <is>
          <t>LEAD-0001</t>
        </is>
      </c>
      <c r="B2" t="inlineStr">
        <is>
          <t>Demo Kinderpsychiatrie Wien</t>
        </is>
      </c>
      <c r="C2" t="inlineStr">
        <is>
          <t>Dr.</t>
        </is>
      </c>
      <c r="D2" t="inlineStr">
        <is>
          <t>Demo Kinderpsychiatrie Wien</t>
        </is>
      </c>
      <c r="E2" t="inlineStr">
        <is>
          <t>Kinder- u. Jugendpsychiatrie</t>
        </is>
      </c>
      <c r="F2" t="inlineStr"/>
      <c r="G2" t="inlineStr">
        <is>
          <t>Musterstraße 1, 1010 Wien</t>
        </is>
      </c>
      <c r="H2" t="inlineStr">
        <is>
          <t>1010</t>
        </is>
      </c>
      <c r="I2" t="inlineStr">
        <is>
          <t>Wien</t>
        </is>
      </c>
      <c r="J2" t="inlineStr">
        <is>
          <t>1. Bezirk – Innere Stadt</t>
        </is>
      </c>
      <c r="K2" t="inlineStr">
        <is>
          <t>+43 1 123 456 78</t>
        </is>
      </c>
      <c r="L2" t="inlineStr"/>
      <c r="M2" t="inlineStr"/>
      <c r="N2" t="inlineStr">
        <is>
          <t>https://www.praxisplan.at/EXAMPLE</t>
        </is>
      </c>
      <c r="O2" t="inlineStr">
        <is>
          <t>https://www.praxisplan.at/suche?name=&amp;specialization=71&amp;zip=&amp;gender=&amp;diploma=&amp;specialty=&amp;insurance=&amp;vaccine=&amp;locale=</t>
        </is>
      </c>
      <c r="P2" t="inlineStr">
        <is>
          <t>Praxisplan</t>
        </is>
      </c>
      <c r="Q2" t="inlineStr"/>
      <c r="R2" t="inlineStr">
        <is>
          <t>Unknown</t>
        </is>
      </c>
      <c r="S2" t="inlineStr">
        <is>
          <t>4</t>
        </is>
      </c>
      <c r="T2" t="inlineStr">
        <is>
          <t>Public phone, Vienna, high callback specialty</t>
        </is>
      </c>
      <c r="U2" t="inlineStr">
        <is>
          <t>Not contacted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No</t>
        </is>
      </c>
      <c r="AH2" t="inlineStr">
        <is>
          <t>No</t>
        </is>
      </c>
      <c r="AI2" t="inlineStr"/>
      <c r="AJ2" t="inlineStr">
        <is>
          <t>Unknown</t>
        </is>
      </c>
      <c r="AK2" t="inlineStr"/>
      <c r="AL2" t="inlineStr"/>
      <c r="AM2" t="inlineStr"/>
      <c r="AN2" t="inlineStr">
        <is>
          <t>2026-07-10</t>
        </is>
      </c>
    </row>
    <row r="3">
      <c r="A3" t="inlineStr">
        <is>
          <t>LEAD-0002</t>
        </is>
      </c>
      <c r="B3" t="inlineStr">
        <is>
          <t>Demo Psychotherapie Praxis</t>
        </is>
      </c>
      <c r="C3" t="inlineStr">
        <is>
          <t>Mag.</t>
        </is>
      </c>
      <c r="D3" t="inlineStr">
        <is>
          <t>Demo Psychotherapie Praxis</t>
        </is>
      </c>
      <c r="E3" t="inlineStr">
        <is>
          <t>Psychotherapeutische Medizin</t>
        </is>
      </c>
      <c r="F3" t="inlineStr"/>
      <c r="G3" t="inlineStr">
        <is>
          <t>Beispielgasse 5/3, 1060 Wien</t>
        </is>
      </c>
      <c r="H3" t="inlineStr">
        <is>
          <t>1060</t>
        </is>
      </c>
      <c r="I3" t="inlineStr">
        <is>
          <t>Wien</t>
        </is>
      </c>
      <c r="J3" t="inlineStr">
        <is>
          <t>6. Bezirk – Mariahilf</t>
        </is>
      </c>
      <c r="K3" t="inlineStr">
        <is>
          <t>+43 664 987 65 43</t>
        </is>
      </c>
      <c r="L3" t="inlineStr">
        <is>
          <t>praxis@example.at</t>
        </is>
      </c>
      <c r="M3" t="inlineStr">
        <is>
          <t>https://www.example-praxis.at</t>
        </is>
      </c>
      <c r="N3" t="inlineStr">
        <is>
          <t>https://www.praxisplan.at/EXAMPLE</t>
        </is>
      </c>
      <c r="O3" t="inlineStr">
        <is>
          <t>https://www.praxisplan.at/suche?name=&amp;specialization=71&amp;zip=&amp;gender=&amp;diploma=&amp;specialty=&amp;insurance=&amp;vaccine=&amp;locale=</t>
        </is>
      </c>
      <c r="P3" t="inlineStr">
        <is>
          <t>Praxisplan</t>
        </is>
      </c>
      <c r="Q3" t="inlineStr"/>
      <c r="R3" t="inlineStr">
        <is>
          <t>Unknown</t>
        </is>
      </c>
      <c r="S3" t="inlineStr">
        <is>
          <t>5</t>
        </is>
      </c>
      <c r="T3" t="inlineStr">
        <is>
          <t>Email available, strong outreach target</t>
        </is>
      </c>
      <c r="U3" t="inlineStr">
        <is>
          <t>Not contacted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No</t>
        </is>
      </c>
      <c r="AH3" t="inlineStr">
        <is>
          <t>No</t>
        </is>
      </c>
      <c r="AI3" t="inlineStr"/>
      <c r="AJ3" t="inlineStr">
        <is>
          <t>Unknown</t>
        </is>
      </c>
      <c r="AK3" t="inlineStr"/>
      <c r="AL3" t="inlineStr"/>
      <c r="AM3" t="inlineStr"/>
      <c r="AN3" t="inlineStr">
        <is>
          <t>2026-07-10</t>
        </is>
      </c>
    </row>
    <row r="4">
      <c r="A4" t="inlineStr">
        <is>
          <t>LEAD-0003</t>
        </is>
      </c>
      <c r="B4" t="inlineStr">
        <is>
          <t>Demo Privatpraxis 1060</t>
        </is>
      </c>
      <c r="C4" t="inlineStr">
        <is>
          <t>Dr.</t>
        </is>
      </c>
      <c r="D4" t="inlineStr">
        <is>
          <t>Demo Privatpraxis 1060</t>
        </is>
      </c>
      <c r="E4" t="inlineStr">
        <is>
          <t>Kinder- u. Jugendpsychiatrie</t>
        </is>
      </c>
      <c r="F4" t="inlineStr"/>
      <c r="G4" t="inlineStr">
        <is>
          <t>Testgasse 12, 1060 Wien</t>
        </is>
      </c>
      <c r="H4" t="inlineStr">
        <is>
          <t>1060</t>
        </is>
      </c>
      <c r="I4" t="inlineStr">
        <is>
          <t>Wien</t>
        </is>
      </c>
      <c r="J4" t="inlineStr">
        <is>
          <t>6. Bezirk – Mariahilf</t>
        </is>
      </c>
      <c r="K4" t="inlineStr"/>
      <c r="L4" t="inlineStr"/>
      <c r="M4" t="inlineStr">
        <is>
          <t>https://www.demo-privatpraxis.at</t>
        </is>
      </c>
      <c r="N4" t="inlineStr">
        <is>
          <t>https://www.praxisplan.at/EXAMPLE</t>
        </is>
      </c>
      <c r="O4" t="inlineStr">
        <is>
          <t>https://www.praxisplan.at/suche?name=&amp;specialization=71&amp;zip=&amp;gender=&amp;diploma=&amp;specialty=&amp;insurance=&amp;vaccine=&amp;locale=</t>
        </is>
      </c>
      <c r="P4" t="inlineStr">
        <is>
          <t>Praxisplan</t>
        </is>
      </c>
      <c r="Q4" t="inlineStr"/>
      <c r="R4" t="inlineStr">
        <is>
          <t>Unknown</t>
        </is>
      </c>
      <c r="S4" t="inlineStr">
        <is>
          <t>2</t>
        </is>
      </c>
      <c r="T4" t="inlineStr">
        <is>
          <t>Website missing, phone only</t>
        </is>
      </c>
      <c r="U4" t="inlineStr">
        <is>
          <t>Not contacted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No</t>
        </is>
      </c>
      <c r="AH4" t="inlineStr">
        <is>
          <t>No</t>
        </is>
      </c>
      <c r="AI4" t="inlineStr"/>
      <c r="AJ4" t="inlineStr">
        <is>
          <t>Unknown</t>
        </is>
      </c>
      <c r="AK4" t="inlineStr"/>
      <c r="AL4" t="inlineStr"/>
      <c r="AM4" t="inlineStr"/>
      <c r="AN4" t="inlineStr">
        <is>
          <t>2026-07-10</t>
        </is>
      </c>
    </row>
    <row r="5">
      <c r="A5" t="inlineStr">
        <is>
          <t>LEAD-0004</t>
        </is>
      </c>
      <c r="B5" t="inlineStr">
        <is>
          <t>Demo Familienpraxis Wien</t>
        </is>
      </c>
      <c r="C5" t="inlineStr">
        <is>
          <t>Dr.</t>
        </is>
      </c>
      <c r="D5" t="inlineStr">
        <is>
          <t>Demo Familienpraxis Wien</t>
        </is>
      </c>
      <c r="E5" t="inlineStr">
        <is>
          <t>Allgemeinmedizin</t>
        </is>
      </c>
      <c r="F5" t="inlineStr"/>
      <c r="G5" t="inlineStr">
        <is>
          <t>Hauptstraße 22/4, 1090 Wien</t>
        </is>
      </c>
      <c r="H5" t="inlineStr">
        <is>
          <t>1090</t>
        </is>
      </c>
      <c r="I5" t="inlineStr">
        <is>
          <t>Wien</t>
        </is>
      </c>
      <c r="J5" t="inlineStr">
        <is>
          <t>9. Bezirk – Alsergrund</t>
        </is>
      </c>
      <c r="K5" t="inlineStr">
        <is>
          <t>+43 1 999 88 77</t>
        </is>
      </c>
      <c r="L5" t="inlineStr"/>
      <c r="M5" t="inlineStr">
        <is>
          <t>https://www.demo-familie.at</t>
        </is>
      </c>
      <c r="N5" t="inlineStr">
        <is>
          <t>https://www.praxisplan.at/EXAMPLE</t>
        </is>
      </c>
      <c r="O5" t="inlineStr">
        <is>
          <t>https://www.praxisplan.at/suche?name=&amp;specialization=71&amp;zip=&amp;gender=&amp;diploma=&amp;specialty=&amp;insurance=&amp;vaccine=&amp;locale=</t>
        </is>
      </c>
      <c r="P5" t="inlineStr">
        <is>
          <t>Praxisplan</t>
        </is>
      </c>
      <c r="Q5" t="inlineStr"/>
      <c r="R5" t="inlineStr">
        <is>
          <t>Unknown</t>
        </is>
      </c>
      <c r="S5" t="inlineStr">
        <is>
          <t>3</t>
        </is>
      </c>
      <c r="T5" t="inlineStr">
        <is>
          <t>Needs manual review</t>
        </is>
      </c>
      <c r="U5" t="inlineStr">
        <is>
          <t>Not contacted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No</t>
        </is>
      </c>
      <c r="AH5" t="inlineStr">
        <is>
          <t>No</t>
        </is>
      </c>
      <c r="AI5" t="inlineStr"/>
      <c r="AJ5" t="inlineStr">
        <is>
          <t>Unknown</t>
        </is>
      </c>
      <c r="AK5" t="inlineStr"/>
      <c r="AL5" t="inlineStr"/>
      <c r="AM5" t="inlineStr"/>
      <c r="AN5" t="inlineStr">
        <is>
          <t>2026-07-10</t>
        </is>
      </c>
    </row>
    <row r="6">
      <c r="A6" t="inlineStr">
        <is>
          <t>LEAD-0005</t>
        </is>
      </c>
      <c r="B6" t="inlineStr">
        <is>
          <t>Demo Ordination Innere Stadt</t>
        </is>
      </c>
      <c r="C6" t="inlineStr">
        <is>
          <t>Univ.Prof. Dr.</t>
        </is>
      </c>
      <c r="D6" t="inlineStr">
        <is>
          <t>Demo Ordination Innere Stadt</t>
        </is>
      </c>
      <c r="E6" t="inlineStr">
        <is>
          <t>Kinder- u. Jugendpsychiatrie u. Psychotherapeutische Medizin</t>
        </is>
      </c>
      <c r="F6" t="inlineStr"/>
      <c r="G6" t="inlineStr">
        <is>
          <t>Ringstraße 4, 1010 Wien</t>
        </is>
      </c>
      <c r="H6" t="inlineStr">
        <is>
          <t>1010</t>
        </is>
      </c>
      <c r="I6" t="inlineStr">
        <is>
          <t>Wien</t>
        </is>
      </c>
      <c r="J6" t="inlineStr">
        <is>
          <t>1. Bezirk – Innere Stadt</t>
        </is>
      </c>
      <c r="K6" t="inlineStr">
        <is>
          <t>+43 1 555 00 11</t>
        </is>
      </c>
      <c r="L6" t="inlineStr">
        <is>
          <t>ordination@example.at</t>
        </is>
      </c>
      <c r="M6" t="inlineStr">
        <is>
          <t>https://www.demo-ordination.at</t>
        </is>
      </c>
      <c r="N6" t="inlineStr">
        <is>
          <t>https://www.praxisplan.at/EXAMPLE</t>
        </is>
      </c>
      <c r="O6" t="inlineStr">
        <is>
          <t>https://www.praxisplan.at/suche?name=&amp;specialization=71&amp;zip=&amp;gender=&amp;diploma=&amp;specialty=&amp;insurance=&amp;vaccine=&amp;locale=</t>
        </is>
      </c>
      <c r="P6" t="inlineStr">
        <is>
          <t>Praxisplan</t>
        </is>
      </c>
      <c r="Q6" t="inlineStr"/>
      <c r="R6" t="inlineStr">
        <is>
          <t>Unknown</t>
        </is>
      </c>
      <c r="S6" t="inlineStr">
        <is>
          <t>5</t>
        </is>
      </c>
      <c r="T6" t="inlineStr">
        <is>
          <t>Public phone, Vienna, high callback specialty</t>
        </is>
      </c>
      <c r="U6" t="inlineStr">
        <is>
          <t>Not contacted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No</t>
        </is>
      </c>
      <c r="AH6" t="inlineStr">
        <is>
          <t>No</t>
        </is>
      </c>
      <c r="AI6" t="inlineStr"/>
      <c r="AJ6" t="inlineStr">
        <is>
          <t>Unknown</t>
        </is>
      </c>
      <c r="AK6" t="inlineStr"/>
      <c r="AL6" t="inlineStr"/>
      <c r="AM6" t="inlineStr"/>
      <c r="AN6" t="inlineStr">
        <is>
          <t>2026-07-10</t>
        </is>
      </c>
    </row>
  </sheetData>
  <autoFilter ref="A1:AN1"/>
  <dataValidations count="9">
    <dataValidation sqref="U2:U2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W2:W2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Y2:Y2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A2:AA2000" showErrorMessage="1" showDropDown="0" showInputMessage="1" allowBlank="1" type="list">
      <formula1>"Not sent,Sent,Replied interested,Replied not interested,No reply,Bounced"</formula1>
    </dataValidation>
    <dataValidation sqref="AC2:AC2000" showErrorMessage="1" showDropDown="0" showInputMessage="1" allowBlank="1" type="list">
      <formula1>"Not visited,Left flyer,Reception conversation,Doctor conversation,Asked to email,Demo booked,Not interested"</formula1>
    </dataValidation>
    <dataValidation sqref="AG2:AG2000" showErrorMessage="1" showDropDown="0" showInputMessage="1" allowBlank="1" type="list">
      <formula1>"Yes,No"</formula1>
    </dataValidation>
    <dataValidation sqref="AH2:AH2000" showErrorMessage="1" showDropDown="0" showInputMessage="1" allowBlank="1" type="list">
      <formula1>"Yes,No"</formula1>
    </dataValidation>
    <dataValidation sqref="AJ2:AJ2000" showErrorMessage="1" showDropDown="0" showInputMessage="1" allowBlank="1" type="list">
      <formula1>"Unknown,Low,Medium,High,Not interested"</formula1>
    </dataValidation>
    <dataValidation sqref="S2:S2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COUNTA(Leads!A2:A2000)</f>
        <v/>
      </c>
    </row>
    <row r="3">
      <c r="A3" s="3" t="inlineStr">
        <is>
          <t>Phone available</t>
        </is>
      </c>
      <c r="B3">
        <f>COUNTIF(Leads!K2:K2000,"?*")</f>
        <v/>
      </c>
    </row>
    <row r="4">
      <c r="A4" s="3" t="inlineStr">
        <is>
          <t>Email available</t>
        </is>
      </c>
      <c r="B4">
        <f>COUNTIF(Leads!L2:L2000,"?*")</f>
        <v/>
      </c>
    </row>
    <row r="5">
      <c r="A5" s="3" t="inlineStr">
        <is>
          <t>Website available</t>
        </is>
      </c>
      <c r="B5">
        <f>COUNTIF(Leads!M2:M2000,"?*")</f>
        <v/>
      </c>
    </row>
    <row r="6">
      <c r="A6" s="3" t="inlineStr">
        <is>
          <t>Not contacted</t>
        </is>
      </c>
      <c r="B6">
        <f>COUNTIF(Leads!U2:U2000,"Not contacted")</f>
        <v/>
      </c>
    </row>
    <row r="7">
      <c r="A7" s="3" t="inlineStr">
        <is>
          <t>Called</t>
        </is>
      </c>
      <c r="B7">
        <f>COUNTIF(Leads!U2:U2000,"Called")</f>
        <v/>
      </c>
    </row>
    <row r="8">
      <c r="A8" s="3" t="inlineStr">
        <is>
          <t>Demo booked</t>
        </is>
      </c>
      <c r="B8">
        <f>COUNTIF(Leads!AH2:AH2000,"Yes")</f>
        <v/>
      </c>
    </row>
    <row r="9">
      <c r="A9" s="3" t="inlineStr">
        <is>
          <t>Interested</t>
        </is>
      </c>
      <c r="B9">
        <f>COUNTIF(Leads!U2:U2000,"Interested")</f>
        <v/>
      </c>
    </row>
    <row r="10">
      <c r="A10" s="3" t="inlineStr">
        <is>
          <t>Follow-up needed</t>
        </is>
      </c>
      <c r="B10">
        <f>COUNTIF(Leads!U2:U2000,"Follow-up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2026-07-10T09:54:36Z</dcterms:created>
  <dcterms:modified xmlns:dcterms="http://purl.org/dc/terms/" xmlns:xsi="http://www.w3.org/2001/XMLSchema-instance" xsi:type="dcterms:W3CDTF">2026-07-10T09:54:36Z</dcterms:modified>
</cp:coreProperties>
</file>