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'Leads'!$A$1:$AR$1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2" customWidth="1" min="3" max="3"/>
    <col width="36" customWidth="1" min="4" max="4"/>
    <col width="32" customWidth="1" min="5" max="5"/>
    <col width="28" customWidth="1" min="6" max="6"/>
    <col width="14" customWidth="1" min="7" max="7"/>
    <col width="24" customWidth="1" min="8" max="8"/>
    <col width="34" customWidth="1" min="9" max="9"/>
    <col width="28" customWidth="1" min="10" max="10"/>
    <col width="32" customWidth="1" min="11" max="11"/>
    <col width="12" customWidth="1" min="12" max="12"/>
    <col width="12" customWidth="1" min="13" max="13"/>
    <col width="28" customWidth="1" min="14" max="14"/>
    <col width="20" customWidth="1" min="15" max="15"/>
    <col width="28" customWidth="1" min="16" max="16"/>
    <col width="30" customWidth="1" min="17" max="17"/>
    <col width="38" customWidth="1" min="18" max="18"/>
    <col width="20" customWidth="1" min="19" max="19"/>
    <col width="12" customWidth="1" min="20" max="20"/>
    <col width="22" customWidth="1" min="21" max="21"/>
    <col width="22" customWidth="1" min="22" max="22"/>
    <col width="13" customWidth="1" min="23" max="23"/>
    <col width="30" customWidth="1" min="24" max="24"/>
    <col width="22" customWidth="1" min="25" max="25"/>
    <col width="18" customWidth="1" min="26" max="26"/>
    <col width="22" customWidth="1" min="27" max="27"/>
    <col width="18" customWidth="1" min="28" max="28"/>
    <col width="22" customWidth="1" min="29" max="29"/>
    <col width="16" customWidth="1" min="30" max="30"/>
    <col width="20" customWidth="1" min="31" max="31"/>
    <col width="16" customWidth="1" min="32" max="32"/>
    <col width="22" customWidth="1" min="33" max="33"/>
    <col width="22" customWidth="1" min="34" max="34"/>
    <col width="18" customWidth="1" min="35" max="35"/>
    <col width="16" customWidth="1" min="36" max="36"/>
    <col width="13" customWidth="1" min="37" max="37"/>
    <col width="13" customWidth="1" min="38" max="38"/>
    <col width="14" customWidth="1" min="39" max="39"/>
    <col width="16" customWidth="1" min="40" max="40"/>
    <col width="28" customWidth="1" min="41" max="41"/>
    <col width="28" customWidth="1" min="42" max="42"/>
    <col width="40" customWidth="1" min="43" max="43"/>
    <col width="14" customWidth="1" min="44" max="44"/>
  </cols>
  <sheetData>
    <row r="1" ht="30" customHeight="1">
      <c r="A1" s="1" t="inlineStr">
        <is>
          <t>Lead ID</t>
        </is>
      </c>
      <c r="B1" s="1" t="inlineStr">
        <is>
          <t>Specialty Tier</t>
        </is>
      </c>
      <c r="C1" s="1" t="inlineStr">
        <is>
          <t>Specialty Key</t>
        </is>
      </c>
      <c r="D1" s="1" t="inlineStr">
        <is>
          <t>Specialty Label DE</t>
        </is>
      </c>
      <c r="E1" s="1" t="inlineStr">
        <is>
          <t>Specialty Label EN</t>
        </is>
      </c>
      <c r="F1" s="1" t="inlineStr">
        <is>
          <t>Doctor Name</t>
        </is>
      </c>
      <c r="G1" s="1" t="inlineStr">
        <is>
          <t>Title</t>
        </is>
      </c>
      <c r="H1" s="1" t="inlineStr">
        <is>
          <t>Practice Name</t>
        </is>
      </c>
      <c r="I1" s="1" t="inlineStr">
        <is>
          <t>Specialty</t>
        </is>
      </c>
      <c r="J1" s="1" t="inlineStr">
        <is>
          <t>Sub-specialty / Notes from Listing</t>
        </is>
      </c>
      <c r="K1" s="1" t="inlineStr">
        <is>
          <t>Address</t>
        </is>
      </c>
      <c r="L1" s="1" t="inlineStr">
        <is>
          <t>Postal Code</t>
        </is>
      </c>
      <c r="M1" s="1" t="inlineStr">
        <is>
          <t>City</t>
        </is>
      </c>
      <c r="N1" s="1" t="inlineStr">
        <is>
          <t>District</t>
        </is>
      </c>
      <c r="O1" s="1" t="inlineStr">
        <is>
          <t>Phone</t>
        </is>
      </c>
      <c r="P1" s="1" t="inlineStr">
        <is>
          <t>Email</t>
        </is>
      </c>
      <c r="Q1" s="1" t="inlineStr">
        <is>
          <t>Website</t>
        </is>
      </c>
      <c r="R1" s="1" t="inlineStr">
        <is>
          <t>Praxisplan Profile URL</t>
        </is>
      </c>
      <c r="S1" s="1" t="inlineStr">
        <is>
          <t>Source URL</t>
        </is>
      </c>
      <c r="T1" s="1" t="inlineStr">
        <is>
          <t>Source</t>
        </is>
      </c>
      <c r="U1" s="1" t="inlineStr">
        <is>
          <t>Existing System Mentioned</t>
        </is>
      </c>
      <c r="V1" s="1" t="inlineStr">
        <is>
          <t>Likely LATIDO / Online Booking</t>
        </is>
      </c>
      <c r="W1" s="1" t="inlineStr">
        <is>
          <t>Priority Score</t>
        </is>
      </c>
      <c r="X1" s="1" t="inlineStr">
        <is>
          <t>Priority Reason</t>
        </is>
      </c>
      <c r="Y1" s="1" t="inlineStr">
        <is>
          <t>Outreach Status</t>
        </is>
      </c>
      <c r="Z1" s="1" t="inlineStr">
        <is>
          <t>Call Attempt 1 Date</t>
        </is>
      </c>
      <c r="AA1" s="1" t="inlineStr">
        <is>
          <t>Call Attempt 1 Result</t>
        </is>
      </c>
      <c r="AB1" s="1" t="inlineStr">
        <is>
          <t>Call Attempt 2 Date</t>
        </is>
      </c>
      <c r="AC1" s="1" t="inlineStr">
        <is>
          <t>Call Attempt 2 Result</t>
        </is>
      </c>
      <c r="AD1" s="1" t="inlineStr">
        <is>
          <t>Email Sent Date</t>
        </is>
      </c>
      <c r="AE1" s="1" t="inlineStr">
        <is>
          <t>Email Result</t>
        </is>
      </c>
      <c r="AF1" s="1" t="inlineStr">
        <is>
          <t>Walk-in Date</t>
        </is>
      </c>
      <c r="AG1" s="1" t="inlineStr">
        <is>
          <t>Walk-in Result</t>
        </is>
      </c>
      <c r="AH1" s="1" t="inlineStr">
        <is>
          <t>Contact Person</t>
        </is>
      </c>
      <c r="AI1" s="1" t="inlineStr">
        <is>
          <t>Best Time to Call</t>
        </is>
      </c>
      <c r="AJ1" s="1" t="inlineStr">
        <is>
          <t>Follow-up Date</t>
        </is>
      </c>
      <c r="AK1" s="1" t="inlineStr">
        <is>
          <t>Demo Offered</t>
        </is>
      </c>
      <c r="AL1" s="1" t="inlineStr">
        <is>
          <t>Demo Booked</t>
        </is>
      </c>
      <c r="AM1" s="1" t="inlineStr">
        <is>
          <t>Demo Date</t>
        </is>
      </c>
      <c r="AN1" s="1" t="inlineStr">
        <is>
          <t>Pilot Interest</t>
        </is>
      </c>
      <c r="AO1" s="1" t="inlineStr">
        <is>
          <t>Objection</t>
        </is>
      </c>
      <c r="AP1" s="1" t="inlineStr">
        <is>
          <t>Next Action</t>
        </is>
      </c>
      <c r="AQ1" s="1" t="inlineStr">
        <is>
          <t>Notes</t>
        </is>
      </c>
      <c r="AR1" s="1" t="inlineStr">
        <is>
          <t>Last Updated</t>
        </is>
      </c>
    </row>
    <row r="2">
      <c r="A2" t="inlineStr">
        <is>
          <t>TMPL-PRIVATE_DE-001</t>
        </is>
      </c>
      <c r="B2" t="inlineStr">
        <is>
          <t>3</t>
        </is>
      </c>
      <c r="C2" t="inlineStr">
        <is>
          <t>private_dental</t>
        </is>
      </c>
      <c r="D2" t="inlineStr">
        <is>
          <t>Zahnarzt privat / Zahnärzte</t>
        </is>
      </c>
      <c r="E2" t="inlineStr">
        <is>
          <t>Private dental clinics</t>
        </is>
      </c>
      <c r="F2" t="inlineStr">
        <is>
          <t>Demo Privat Zahnarzt</t>
        </is>
      </c>
      <c r="G2" t="inlineStr">
        <is>
          <t>Dr.</t>
        </is>
      </c>
      <c r="H2" t="inlineStr"/>
      <c r="I2" t="inlineStr">
        <is>
          <t>Zahnmedizin (privat)</t>
        </is>
      </c>
      <c r="J2" t="inlineStr"/>
      <c r="K2" t="inlineStr">
        <is>
          <t>Graben 1, 1010 Wien</t>
        </is>
      </c>
      <c r="L2" t="inlineStr">
        <is>
          <t>1010</t>
        </is>
      </c>
      <c r="M2" t="inlineStr">
        <is>
          <t>Wien</t>
        </is>
      </c>
      <c r="N2" t="inlineStr">
        <is>
          <t>1. Bezirk – Innere Stadt</t>
        </is>
      </c>
      <c r="O2" t="inlineStr">
        <is>
          <t>+43 000 000000</t>
        </is>
      </c>
      <c r="P2" t="inlineStr"/>
      <c r="Q2" t="inlineStr"/>
      <c r="R2" t="inlineStr"/>
      <c r="S2" t="inlineStr"/>
      <c r="T2" t="inlineStr">
        <is>
          <t>Praxisplan</t>
        </is>
      </c>
      <c r="U2" t="inlineStr"/>
      <c r="V2" t="inlineStr">
        <is>
          <t>Unknown</t>
        </is>
      </c>
      <c r="W2" t="inlineStr">
        <is>
          <t>3</t>
        </is>
      </c>
      <c r="X2" t="inlineStr">
        <is>
          <t>Needs manual review</t>
        </is>
      </c>
      <c r="Y2" t="inlineStr">
        <is>
          <t>Not contacted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No</t>
        </is>
      </c>
      <c r="AL2" t="inlineStr">
        <is>
          <t>No</t>
        </is>
      </c>
      <c r="AM2" t="inlineStr"/>
      <c r="AN2" t="inlineStr">
        <is>
          <t>Unknown</t>
        </is>
      </c>
      <c r="AO2" t="inlineStr"/>
      <c r="AP2" t="inlineStr"/>
      <c r="AQ2" t="inlineStr"/>
      <c r="AR2" t="inlineStr">
        <is>
          <t>2026-07-10</t>
        </is>
      </c>
    </row>
  </sheetData>
  <autoFilter ref="A1:AR1"/>
  <dataValidations count="9">
    <dataValidation sqref="Y2:Y5000" showErrorMessage="1" showDropDown="0" showInputMessage="1" allowBlank="1" type="list">
      <formula1>"Not contacted,Called,No answer,Reception reached,Asked to send email,Email sent,Follow-up needed,Demo offered,Demo booked,Interested,Not interested,Wrong target,Do not contact"</formula1>
    </dataValidation>
    <dataValidation sqref="AA2:AA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C2:AC5000" showErrorMessage="1" showDropDown="0" showInputMessage="1" allowBlank="1" type="list">
      <formula1>"No answer,Busy,Reception reached,Doctor unavailable,Asked to send email,Interested,Not interested,Call later,Demo booked"</formula1>
    </dataValidation>
    <dataValidation sqref="AE2:AE5000" showErrorMessage="1" showDropDown="0" showInputMessage="1" allowBlank="1" type="list">
      <formula1>"Not sent,Sent,Replied interested,Replied not interested,No reply,Bounced"</formula1>
    </dataValidation>
    <dataValidation sqref="AG2:AG5000" showErrorMessage="1" showDropDown="0" showInputMessage="1" allowBlank="1" type="list">
      <formula1>"Not visited,Left flyer,Reception conversation,Doctor conversation,Asked to email,Demo booked,Not interested"</formula1>
    </dataValidation>
    <dataValidation sqref="AK2:AK5000" showErrorMessage="1" showDropDown="0" showInputMessage="1" allowBlank="1" type="list">
      <formula1>"Yes,No"</formula1>
    </dataValidation>
    <dataValidation sqref="AL2:AL5000" showErrorMessage="1" showDropDown="0" showInputMessage="1" allowBlank="1" type="list">
      <formula1>"Yes,No"</formula1>
    </dataValidation>
    <dataValidation sqref="AN2:AN5000" showErrorMessage="1" showDropDown="0" showInputMessage="1" allowBlank="1" type="list">
      <formula1>"Unknown,Low,Medium,High,Not interested"</formula1>
    </dataValidation>
    <dataValidation sqref="W2:W5000" showErrorMessage="1" showDropDown="0" showInputMessage="1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2" t="inlineStr">
        <is>
          <t>Metric</t>
        </is>
      </c>
      <c r="B1" t="inlineStr">
        <is>
          <t>Count</t>
        </is>
      </c>
    </row>
    <row r="2">
      <c r="A2" s="3" t="inlineStr">
        <is>
          <t>Total leads</t>
        </is>
      </c>
      <c r="B2">
        <f>COUNTA('Leads'!A2:A5000)</f>
        <v/>
      </c>
    </row>
    <row r="3">
      <c r="A3" s="3" t="inlineStr">
        <is>
          <t>Phone available</t>
        </is>
      </c>
      <c r="B3">
        <f>COUNTIF('Leads'!O2:O5000,"?*")</f>
        <v/>
      </c>
    </row>
    <row r="4">
      <c r="A4" s="3" t="inlineStr">
        <is>
          <t>Email available</t>
        </is>
      </c>
      <c r="B4">
        <f>COUNTIF('Leads'!P2:P5000,"?*")</f>
        <v/>
      </c>
    </row>
    <row r="5">
      <c r="A5" s="3" t="inlineStr">
        <is>
          <t>Website available</t>
        </is>
      </c>
      <c r="B5">
        <f>COUNTIF('Leads'!Q2:Q5000,"?*")</f>
        <v/>
      </c>
    </row>
    <row r="6">
      <c r="A6" s="3" t="inlineStr">
        <is>
          <t>Not contacted</t>
        </is>
      </c>
      <c r="B6">
        <f>COUNTIF('Leads'!Y2:Y5000,"Not contacted")</f>
        <v/>
      </c>
    </row>
    <row r="7">
      <c r="A7" s="3" t="inlineStr">
        <is>
          <t>Called</t>
        </is>
      </c>
      <c r="B7">
        <f>COUNTIF('Leads'!Y2:Y5000,"Called")</f>
        <v/>
      </c>
    </row>
    <row r="8">
      <c r="A8" s="3" t="inlineStr">
        <is>
          <t>Demo booked</t>
        </is>
      </c>
      <c r="B8">
        <f>COUNTIF('Leads'!AL2:AL5000,"Yes")</f>
        <v/>
      </c>
    </row>
    <row r="9">
      <c r="A9" s="3" t="inlineStr">
        <is>
          <t>Interested</t>
        </is>
      </c>
      <c r="B9">
        <f>COUNTIF('Leads'!Y2:Y5000,"Interested")</f>
        <v/>
      </c>
    </row>
    <row r="10">
      <c r="A10" s="3" t="inlineStr">
        <is>
          <t>Follow-up needed</t>
        </is>
      </c>
      <c r="B10">
        <f>COUNTIF('Leads'!Y2:Y5000,"Follow-up needed")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2026-07-10T10:30:21Z</dcterms:created>
  <dcterms:modified xmlns:dcterms="http://purl.org/dc/terms/" xmlns:xsi="http://www.w3.org/2001/XMLSchema-instance" xsi:type="dcterms:W3CDTF">2026-07-10T10:30:21Z</dcterms:modified>
</cp:coreProperties>
</file>