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1" t="inlineStr">
        <is>
          <t>Lead ID</t>
        </is>
      </c>
      <c r="B1" s="1" t="inlineStr">
        <is>
          <t>Specialty Tier</t>
        </is>
      </c>
      <c r="C1" s="1" t="inlineStr">
        <is>
          <t>Specialty Key</t>
        </is>
      </c>
      <c r="D1" s="1" t="inlineStr">
        <is>
          <t>Specialty Label DE</t>
        </is>
      </c>
      <c r="E1" s="1" t="inlineStr">
        <is>
          <t>Specialty Label EN</t>
        </is>
      </c>
      <c r="F1" s="1" t="inlineStr">
        <is>
          <t>Doctor Name</t>
        </is>
      </c>
      <c r="G1" s="1" t="inlineStr">
        <is>
          <t>Title</t>
        </is>
      </c>
      <c r="H1" s="1" t="inlineStr">
        <is>
          <t>Practice Name</t>
        </is>
      </c>
      <c r="I1" s="1" t="inlineStr">
        <is>
          <t>Specialty</t>
        </is>
      </c>
      <c r="J1" s="1" t="inlineStr">
        <is>
          <t>Sub-specialty / Notes from Listing</t>
        </is>
      </c>
      <c r="K1" s="1" t="inlineStr">
        <is>
          <t>Address</t>
        </is>
      </c>
      <c r="L1" s="1" t="inlineStr">
        <is>
          <t>Postal Code</t>
        </is>
      </c>
      <c r="M1" s="1" t="inlineStr">
        <is>
          <t>City</t>
        </is>
      </c>
      <c r="N1" s="1" t="inlineStr">
        <is>
          <t>District</t>
        </is>
      </c>
      <c r="O1" s="1" t="inlineStr">
        <is>
          <t>Phone</t>
        </is>
      </c>
      <c r="P1" s="1" t="inlineStr">
        <is>
          <t>Email</t>
        </is>
      </c>
      <c r="Q1" s="1" t="inlineStr">
        <is>
          <t>Website</t>
        </is>
      </c>
      <c r="R1" s="1" t="inlineStr">
        <is>
          <t>Praxisplan Profile URL</t>
        </is>
      </c>
      <c r="S1" s="1" t="inlineStr">
        <is>
          <t>Source URL</t>
        </is>
      </c>
      <c r="T1" s="1" t="inlineStr">
        <is>
          <t>Source</t>
        </is>
      </c>
      <c r="U1" s="1" t="inlineStr">
        <is>
          <t>Existing System Mentioned</t>
        </is>
      </c>
      <c r="V1" s="1" t="inlineStr">
        <is>
          <t>Likely LATIDO / Online Booking</t>
        </is>
      </c>
      <c r="W1" s="1" t="inlineStr">
        <is>
          <t>Priority Score</t>
        </is>
      </c>
      <c r="X1" s="1" t="inlineStr">
        <is>
          <t>Priority Reason</t>
        </is>
      </c>
      <c r="Y1" s="1" t="inlineStr">
        <is>
          <t>Outreach Status</t>
        </is>
      </c>
      <c r="Z1" s="1" t="inlineStr">
        <is>
          <t>Call Attempt 1 Date</t>
        </is>
      </c>
      <c r="AA1" s="1" t="inlineStr">
        <is>
          <t>Call Attempt 1 Result</t>
        </is>
      </c>
      <c r="AB1" s="1" t="inlineStr">
        <is>
          <t>Call Attempt 2 Date</t>
        </is>
      </c>
      <c r="AC1" s="1" t="inlineStr">
        <is>
          <t>Call Attempt 2 Result</t>
        </is>
      </c>
      <c r="AD1" s="1" t="inlineStr">
        <is>
          <t>Email Sent Date</t>
        </is>
      </c>
      <c r="AE1" s="1" t="inlineStr">
        <is>
          <t>Email Result</t>
        </is>
      </c>
      <c r="AF1" s="1" t="inlineStr">
        <is>
          <t>Walk-in Date</t>
        </is>
      </c>
      <c r="AG1" s="1" t="inlineStr">
        <is>
          <t>Walk-in Result</t>
        </is>
      </c>
      <c r="AH1" s="1" t="inlineStr">
        <is>
          <t>Contact Person</t>
        </is>
      </c>
      <c r="AI1" s="1" t="inlineStr">
        <is>
          <t>Best Time to Call</t>
        </is>
      </c>
      <c r="AJ1" s="1" t="inlineStr">
        <is>
          <t>Follow-up Date</t>
        </is>
      </c>
      <c r="AK1" s="1" t="inlineStr">
        <is>
          <t>Demo Offered</t>
        </is>
      </c>
      <c r="AL1" s="1" t="inlineStr">
        <is>
          <t>Demo Booked</t>
        </is>
      </c>
      <c r="AM1" s="1" t="inlineStr">
        <is>
          <t>Demo Date</t>
        </is>
      </c>
      <c r="AN1" s="1" t="inlineStr">
        <is>
          <t>Pilot Interest</t>
        </is>
      </c>
      <c r="AO1" s="1" t="inlineStr">
        <is>
          <t>Objection</t>
        </is>
      </c>
      <c r="AP1" s="1" t="inlineStr">
        <is>
          <t>Next Action</t>
        </is>
      </c>
      <c r="AQ1" s="1" t="inlineStr">
        <is>
          <t>Notes</t>
        </is>
      </c>
      <c r="AR1" s="1" t="inlineStr">
        <is>
          <t>Last Updated</t>
        </is>
      </c>
    </row>
    <row r="2">
      <c r="A2" t="inlineStr">
        <is>
          <t>LEAD-00671</t>
        </is>
      </c>
      <c r="B2" t="inlineStr">
        <is>
          <t>2</t>
        </is>
      </c>
      <c r="C2" t="inlineStr">
        <is>
          <t>ent</t>
        </is>
      </c>
      <c r="D2" t="inlineStr">
        <is>
          <t>Hals-, Nasen- u. Ohrenheilkunde (HNO)</t>
        </is>
      </c>
      <c r="E2" t="inlineStr">
        <is>
          <t>ENT (ear, nose, throat)</t>
        </is>
      </c>
      <c r="F2" t="inlineStr">
        <is>
          <t>Dr. Sassan Ahmadi</t>
        </is>
      </c>
      <c r="G2" t="inlineStr">
        <is>
          <t>Dr.</t>
        </is>
      </c>
      <c r="H2" t="inlineStr"/>
      <c r="I2" t="inlineStr">
        <is>
          <t>Hals-, Nasen- u. Ohrenheilkunde (alle Kassen)</t>
        </is>
      </c>
      <c r="J2" t="inlineStr"/>
      <c r="K2" t="inlineStr">
        <is>
          <t>wieder geöffnet am 13.07.</t>
        </is>
      </c>
      <c r="L2" t="inlineStr">
        <is>
          <t>2026</t>
        </is>
      </c>
      <c r="M2" t="inlineStr">
        <is>
          <t>: 13.00 - 18.00 Uhr</t>
        </is>
      </c>
      <c r="N2" t="inlineStr"/>
      <c r="O2" t="inlineStr">
        <is>
          <t>+43 1 405 74 23</t>
        </is>
      </c>
      <c r="P2" t="inlineStr"/>
      <c r="Q2" t="inlineStr"/>
      <c r="R2" t="inlineStr">
        <is>
          <t>https://www.praxisplan.at/5113/sassan-ahmadi/ordination/1</t>
        </is>
      </c>
      <c r="S2" t="inlineStr">
        <is>
          <t>https://www.praxisplan.at/suche?name=&amp;specialization=5&amp;zip=&amp;gender=&amp;diploma=&amp;specialty=&amp;insurance=&amp;vaccine=&amp;locale=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2</t>
        </is>
      </c>
      <c r="X2" t="inlineStr">
        <is>
          <t>Public phone, tier 2 phone-available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LEAD-00672</t>
        </is>
      </c>
      <c r="B3" t="inlineStr">
        <is>
          <t>2</t>
        </is>
      </c>
      <c r="C3" t="inlineStr">
        <is>
          <t>ent</t>
        </is>
      </c>
      <c r="D3" t="inlineStr">
        <is>
          <t>Hals-, Nasen- u. Ohrenheilkunde (HNO)</t>
        </is>
      </c>
      <c r="E3" t="inlineStr">
        <is>
          <t>ENT (ear, nose, throat)</t>
        </is>
      </c>
      <c r="F3" t="inlineStr">
        <is>
          <t>Dr. Karam Alahmad</t>
        </is>
      </c>
      <c r="G3" t="inlineStr">
        <is>
          <t>Dr.</t>
        </is>
      </c>
      <c r="H3" t="inlineStr"/>
      <c r="I3" t="inlineStr">
        <is>
          <t>Hals-, Nasen- u. Ohrenheilkunde (alle Kassen)</t>
        </is>
      </c>
      <c r="J3" t="inlineStr"/>
      <c r="K3" t="inlineStr">
        <is>
          <t>wieder geöffnet am 13.07.</t>
        </is>
      </c>
      <c r="L3" t="inlineStr">
        <is>
          <t>2026</t>
        </is>
      </c>
      <c r="M3" t="inlineStr">
        <is>
          <t>: 09.00 - 14.00 Uhr</t>
        </is>
      </c>
      <c r="N3" t="inlineStr"/>
      <c r="O3" t="inlineStr">
        <is>
          <t>+43 1 259 00 58</t>
        </is>
      </c>
      <c r="P3" t="inlineStr"/>
      <c r="Q3" t="inlineStr"/>
      <c r="R3" t="inlineStr">
        <is>
          <t>https://www.praxisplan.at/14201/karam-alahmad/ordination/1</t>
        </is>
      </c>
      <c r="S3" t="inlineStr">
        <is>
          <t>https://www.praxisplan.at/suche?name=&amp;specialization=5&amp;zip=&amp;gender=&amp;diploma=&amp;specialty=&amp;insurance=&amp;vaccine=&amp;locale=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2</t>
        </is>
      </c>
      <c r="X3" t="inlineStr">
        <is>
          <t>Public phone, tier 2 phone-available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LEAD-00673</t>
        </is>
      </c>
      <c r="B4" t="inlineStr">
        <is>
          <t>2</t>
        </is>
      </c>
      <c r="C4" t="inlineStr">
        <is>
          <t>ent</t>
        </is>
      </c>
      <c r="D4" t="inlineStr">
        <is>
          <t>Hals-, Nasen- u. Ohrenheilkunde (HNO)</t>
        </is>
      </c>
      <c r="E4" t="inlineStr">
        <is>
          <t>ENT (ear, nose, throat)</t>
        </is>
      </c>
      <c r="F4" t="inlineStr">
        <is>
          <t>Dr. Tarek Alborno</t>
        </is>
      </c>
      <c r="G4" t="inlineStr">
        <is>
          <t>Dr.</t>
        </is>
      </c>
      <c r="H4" t="inlineStr"/>
      <c r="I4" t="inlineStr">
        <is>
          <t>Hals-, Nasen- u. Ohrenheilkunde</t>
        </is>
      </c>
      <c r="J4" t="inlineStr"/>
      <c r="K4" t="inlineStr">
        <is>
          <t>Heiligenstädter Straße 46-48</t>
        </is>
      </c>
      <c r="L4" t="inlineStr">
        <is>
          <t>1190</t>
        </is>
      </c>
      <c r="M4" t="inlineStr">
        <is>
          <t>Wien</t>
        </is>
      </c>
      <c r="N4" t="inlineStr">
        <is>
          <t>19. Bezirk – Döbling</t>
        </is>
      </c>
      <c r="O4" t="inlineStr">
        <is>
          <t>+43 1 360 66 8000</t>
        </is>
      </c>
      <c r="P4" t="inlineStr"/>
      <c r="Q4" t="inlineStr"/>
      <c r="R4" t="inlineStr">
        <is>
          <t>https://www.praxisplan.at/7384/tarek-alborno/ordination/1</t>
        </is>
      </c>
      <c r="S4" t="inlineStr">
        <is>
          <t>https://www.praxisplan.at/suche?name=&amp;specialization=5&amp;zip=&amp;gender=&amp;diploma=&amp;specialty=&amp;insurance=&amp;vaccine=&amp;locale=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3</t>
        </is>
      </c>
      <c r="X4" t="inlineStr">
        <is>
          <t>Public phone, vienna, tier 2 phone-available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LEAD-00674</t>
        </is>
      </c>
      <c r="B5" t="inlineStr">
        <is>
          <t>2</t>
        </is>
      </c>
      <c r="C5" t="inlineStr">
        <is>
          <t>ent</t>
        </is>
      </c>
      <c r="D5" t="inlineStr">
        <is>
          <t>Hals-, Nasen- u. Ohrenheilkunde (HNO)</t>
        </is>
      </c>
      <c r="E5" t="inlineStr">
        <is>
          <t>ENT (ear, nose, throat)</t>
        </is>
      </c>
      <c r="F5" t="inlineStr">
        <is>
          <t>Dr. Ümit Alici</t>
        </is>
      </c>
      <c r="G5" t="inlineStr">
        <is>
          <t>Dr.</t>
        </is>
      </c>
      <c r="H5" t="inlineStr"/>
      <c r="I5" t="inlineStr">
        <is>
          <t>Hals-, Nasen- u. Ohrenheilkunde (alle Kassen)</t>
        </is>
      </c>
      <c r="J5" t="inlineStr"/>
      <c r="K5" t="inlineStr">
        <is>
          <t>Senefeldergasse 3/1</t>
        </is>
      </c>
      <c r="L5" t="inlineStr">
        <is>
          <t>1100</t>
        </is>
      </c>
      <c r="M5" t="inlineStr">
        <is>
          <t>Wien</t>
        </is>
      </c>
      <c r="N5" t="inlineStr">
        <is>
          <t>10. Bezirk – Favoriten</t>
        </is>
      </c>
      <c r="O5" t="inlineStr">
        <is>
          <t>+43 1 602 54 00</t>
        </is>
      </c>
      <c r="P5" t="inlineStr"/>
      <c r="Q5" t="inlineStr"/>
      <c r="R5" t="inlineStr">
        <is>
          <t>https://www.praxisplan.at/6912/umit-alici/ordination/1</t>
        </is>
      </c>
      <c r="S5" t="inlineStr">
        <is>
          <t>https://www.praxisplan.at/suche?name=&amp;specialization=5&amp;zip=&amp;gender=&amp;diploma=&amp;specialty=&amp;insurance=&amp;vaccine=&amp;locale=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3</t>
        </is>
      </c>
      <c r="X5" t="inlineStr">
        <is>
          <t>Public phone, vienna, tier 2 phone-available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LEAD-00675</t>
        </is>
      </c>
      <c r="B6" t="inlineStr">
        <is>
          <t>2</t>
        </is>
      </c>
      <c r="C6" t="inlineStr">
        <is>
          <t>ent</t>
        </is>
      </c>
      <c r="D6" t="inlineStr">
        <is>
          <t>Hals-, Nasen- u. Ohrenheilkunde (HNO)</t>
        </is>
      </c>
      <c r="E6" t="inlineStr">
        <is>
          <t>ENT (ear, nose, throat)</t>
        </is>
      </c>
      <c r="F6" t="inlineStr">
        <is>
          <t>Dr. Mohamed Alkhelewi</t>
        </is>
      </c>
      <c r="G6" t="inlineStr">
        <is>
          <t>Dr.</t>
        </is>
      </c>
      <c r="H6" t="inlineStr"/>
      <c r="I6" t="inlineStr">
        <is>
          <t>Informationen zum*zur Ärzt*in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https://www.praxisplan.at/3005/mohamed-alkhelewi</t>
        </is>
      </c>
      <c r="S6" t="inlineStr">
        <is>
          <t>https://www.praxisplan.at/suche?name=&amp;specialization=5&amp;zip=&amp;gender=&amp;diploma=&amp;specialty=&amp;insurance=&amp;vaccine=&amp;locale=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0</t>
        </is>
      </c>
      <c r="X6" t="inlineStr">
        <is>
          <t>Needs manual review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LEAD-00676</t>
        </is>
      </c>
      <c r="B7" t="inlineStr">
        <is>
          <t>2</t>
        </is>
      </c>
      <c r="C7" t="inlineStr">
        <is>
          <t>ent</t>
        </is>
      </c>
      <c r="D7" t="inlineStr">
        <is>
          <t>Hals-, Nasen- u. Ohrenheilkunde (HNO)</t>
        </is>
      </c>
      <c r="E7" t="inlineStr">
        <is>
          <t>ENT (ear, nose, throat)</t>
        </is>
      </c>
      <c r="F7" t="inlineStr">
        <is>
          <t>Dr. Alaa Al-Lehaibi</t>
        </is>
      </c>
      <c r="G7" t="inlineStr">
        <is>
          <t>Dr.</t>
        </is>
      </c>
      <c r="H7" t="inlineStr"/>
      <c r="I7" t="inlineStr">
        <is>
          <t>Hals-, Nasen- u. Ohrenheilkunde (alle Kassen)</t>
        </is>
      </c>
      <c r="J7" t="inlineStr"/>
      <c r="K7" t="inlineStr">
        <is>
          <t>wieder geöffnet am 13.07.</t>
        </is>
      </c>
      <c r="L7" t="inlineStr">
        <is>
          <t>2026</t>
        </is>
      </c>
      <c r="M7" t="inlineStr">
        <is>
          <t>: 14.00 - 18.00 Uhr</t>
        </is>
      </c>
      <c r="N7" t="inlineStr"/>
      <c r="O7" t="inlineStr">
        <is>
          <t>+43 1 481 13 67</t>
        </is>
      </c>
      <c r="P7" t="inlineStr"/>
      <c r="Q7" t="inlineStr"/>
      <c r="R7" t="inlineStr">
        <is>
          <t>https://www.praxisplan.at/9414/alaa-al-lehaibi/ordination/1</t>
        </is>
      </c>
      <c r="S7" t="inlineStr">
        <is>
          <t>https://www.praxisplan.at/suche?name=&amp;specialization=5&amp;zip=&amp;gender=&amp;diploma=&amp;specialty=&amp;insurance=&amp;vaccine=&amp;locale=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2</t>
        </is>
      </c>
      <c r="X7" t="inlineStr">
        <is>
          <t>Public phone, tier 2 phone-available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LEAD-00677</t>
        </is>
      </c>
      <c r="B8" t="inlineStr">
        <is>
          <t>2</t>
        </is>
      </c>
      <c r="C8" t="inlineStr">
        <is>
          <t>ent</t>
        </is>
      </c>
      <c r="D8" t="inlineStr">
        <is>
          <t>Hals-, Nasen- u. Ohrenheilkunde (HNO)</t>
        </is>
      </c>
      <c r="E8" t="inlineStr">
        <is>
          <t>ENT (ear, nose, throat)</t>
        </is>
      </c>
      <c r="F8" t="inlineStr">
        <is>
          <t>Assoc.Prof.Priv.Doz. Dr. Christoph Arnoldner</t>
        </is>
      </c>
      <c r="G8" t="inlineStr"/>
      <c r="H8" t="inlineStr"/>
      <c r="I8" t="inlineStr">
        <is>
          <t>Hals-, Nasen- u. Ohrenheilkunde</t>
        </is>
      </c>
      <c r="J8" t="inlineStr"/>
      <c r="K8" t="inlineStr">
        <is>
          <t>Altgasse 11</t>
        </is>
      </c>
      <c r="L8" t="inlineStr">
        <is>
          <t>1130</t>
        </is>
      </c>
      <c r="M8" t="inlineStr">
        <is>
          <t>Wien</t>
        </is>
      </c>
      <c r="N8" t="inlineStr">
        <is>
          <t>13. Bezirk – Hietzing</t>
        </is>
      </c>
      <c r="O8" t="inlineStr">
        <is>
          <t>+43 664 256 17 97</t>
        </is>
      </c>
      <c r="P8" t="inlineStr"/>
      <c r="Q8" t="inlineStr"/>
      <c r="R8" t="inlineStr">
        <is>
          <t>https://www.praxisplan.at/7080/christoph-arnoldner/ordination/1</t>
        </is>
      </c>
      <c r="S8" t="inlineStr">
        <is>
          <t>https://www.praxisplan.at/suche?name=&amp;specialization=5&amp;zip=&amp;gender=&amp;diploma=&amp;specialty=&amp;insurance=&amp;vaccine=&amp;locale=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3</t>
        </is>
      </c>
      <c r="X8" t="inlineStr">
        <is>
          <t>Public phone, vienna, tier 2 phone-available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LEAD-00678</t>
        </is>
      </c>
      <c r="B9" t="inlineStr">
        <is>
          <t>2</t>
        </is>
      </c>
      <c r="C9" t="inlineStr">
        <is>
          <t>ent</t>
        </is>
      </c>
      <c r="D9" t="inlineStr">
        <is>
          <t>Hals-, Nasen- u. Ohrenheilkunde (HNO)</t>
        </is>
      </c>
      <c r="E9" t="inlineStr">
        <is>
          <t>ENT (ear, nose, throat)</t>
        </is>
      </c>
      <c r="F9" t="inlineStr">
        <is>
          <t>Dr. John Arshid</t>
        </is>
      </c>
      <c r="G9" t="inlineStr">
        <is>
          <t>Dr.</t>
        </is>
      </c>
      <c r="H9" t="inlineStr"/>
      <c r="I9" t="inlineStr">
        <is>
          <t>Hals-, Nasen- u. Ohrenheilkunde</t>
        </is>
      </c>
      <c r="J9" t="inlineStr"/>
      <c r="K9" t="inlineStr">
        <is>
          <t>Vorgartenstraße 206c/5.Stock</t>
        </is>
      </c>
      <c r="L9" t="inlineStr">
        <is>
          <t>1020</t>
        </is>
      </c>
      <c r="M9" t="inlineStr">
        <is>
          <t>Wien</t>
        </is>
      </c>
      <c r="N9" t="inlineStr">
        <is>
          <t>2. Bezirk – Leopoldstadt</t>
        </is>
      </c>
      <c r="O9" t="inlineStr">
        <is>
          <t>+43 1 890 45 20</t>
        </is>
      </c>
      <c r="P9" t="inlineStr"/>
      <c r="Q9" t="inlineStr"/>
      <c r="R9" t="inlineStr">
        <is>
          <t>https://www.praxisplan.at/10561/john-arshid/ordination/1</t>
        </is>
      </c>
      <c r="S9" t="inlineStr">
        <is>
          <t>https://www.praxisplan.at/suche?name=&amp;specialization=5&amp;zip=&amp;gender=&amp;diploma=&amp;specialty=&amp;insurance=&amp;vaccine=&amp;locale=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3</t>
        </is>
      </c>
      <c r="X9" t="inlineStr">
        <is>
          <t>Public phone, vienna, tier 2 phone-available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LEAD-00679</t>
        </is>
      </c>
      <c r="B10" t="inlineStr">
        <is>
          <t>2</t>
        </is>
      </c>
      <c r="C10" t="inlineStr">
        <is>
          <t>ent</t>
        </is>
      </c>
      <c r="D10" t="inlineStr">
        <is>
          <t>Hals-, Nasen- u. Ohrenheilkunde (HNO)</t>
        </is>
      </c>
      <c r="E10" t="inlineStr">
        <is>
          <t>ENT (ear, nose, throat)</t>
        </is>
      </c>
      <c r="F10" t="inlineStr">
        <is>
          <t>Dr. Claudia Atteneder</t>
        </is>
      </c>
      <c r="G10" t="inlineStr">
        <is>
          <t>Dr.</t>
        </is>
      </c>
      <c r="H10" t="inlineStr"/>
      <c r="I10" t="inlineStr">
        <is>
          <t>Hals-, Nasen- u. Ohrenheilkunde</t>
        </is>
      </c>
      <c r="J10" t="inlineStr"/>
      <c r="K10" t="inlineStr">
        <is>
          <t>Nestroyplatz 1/10</t>
        </is>
      </c>
      <c r="L10" t="inlineStr">
        <is>
          <t>1020</t>
        </is>
      </c>
      <c r="M10" t="inlineStr">
        <is>
          <t>Wien</t>
        </is>
      </c>
      <c r="N10" t="inlineStr">
        <is>
          <t>2. Bezirk – Leopoldstadt</t>
        </is>
      </c>
      <c r="O10" t="inlineStr">
        <is>
          <t>+43 1 216 20 50</t>
        </is>
      </c>
      <c r="P10" t="inlineStr"/>
      <c r="Q10" t="inlineStr"/>
      <c r="R10" t="inlineStr">
        <is>
          <t>https://www.praxisplan.at/7424/claudia-atteneder/ordination/1</t>
        </is>
      </c>
      <c r="S10" t="inlineStr">
        <is>
          <t>https://www.praxisplan.at/suche?name=&amp;specialization=5&amp;zip=&amp;gender=&amp;diploma=&amp;specialty=&amp;insurance=&amp;vaccine=&amp;locale=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3</t>
        </is>
      </c>
      <c r="X10" t="inlineStr">
        <is>
          <t>Public phone, vienna, tier 2 phone-available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LEAD-00680</t>
        </is>
      </c>
      <c r="B11" t="inlineStr">
        <is>
          <t>2</t>
        </is>
      </c>
      <c r="C11" t="inlineStr">
        <is>
          <t>ent</t>
        </is>
      </c>
      <c r="D11" t="inlineStr">
        <is>
          <t>Hals-, Nasen- u. Ohrenheilkunde (HNO)</t>
        </is>
      </c>
      <c r="E11" t="inlineStr">
        <is>
          <t>ENT (ear, nose, throat)</t>
        </is>
      </c>
      <c r="F11" t="inlineStr">
        <is>
          <t>Priv.Doz. Dr. Alice Auinger</t>
        </is>
      </c>
      <c r="G11" t="inlineStr">
        <is>
          <t>Priv.Doz. Dr.</t>
        </is>
      </c>
      <c r="H11" t="inlineStr"/>
      <c r="I11" t="inlineStr">
        <is>
          <t>Hals-, Nasen- u. Ohrenheilkunde</t>
        </is>
      </c>
      <c r="J11" t="inlineStr"/>
      <c r="K11" t="inlineStr">
        <is>
          <t>Währinger Straße 39</t>
        </is>
      </c>
      <c r="L11" t="inlineStr">
        <is>
          <t>1090</t>
        </is>
      </c>
      <c r="M11" t="inlineStr">
        <is>
          <t>Wien</t>
        </is>
      </c>
      <c r="N11" t="inlineStr">
        <is>
          <t>9. Bezirk – Alsergrund</t>
        </is>
      </c>
      <c r="O11" t="inlineStr">
        <is>
          <t>+43 1 358 83 40</t>
        </is>
      </c>
      <c r="P11" t="inlineStr"/>
      <c r="Q11" t="inlineStr"/>
      <c r="R11" t="inlineStr">
        <is>
          <t>https://www.praxisplan.at/10090/alice-auinger/ordination/1</t>
        </is>
      </c>
      <c r="S11" t="inlineStr">
        <is>
          <t>https://www.praxisplan.at/suche?name=&amp;specialization=5&amp;zip=&amp;gender=&amp;diploma=&amp;specialty=&amp;insurance=&amp;vaccine=&amp;locale=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3</t>
        </is>
      </c>
      <c r="X11" t="inlineStr">
        <is>
          <t>Public phone, vienna, tier 2 phone-available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LEAD-00681</t>
        </is>
      </c>
      <c r="B12" t="inlineStr">
        <is>
          <t>2</t>
        </is>
      </c>
      <c r="C12" t="inlineStr">
        <is>
          <t>ent</t>
        </is>
      </c>
      <c r="D12" t="inlineStr">
        <is>
          <t>Hals-, Nasen- u. Ohrenheilkunde (HNO)</t>
        </is>
      </c>
      <c r="E12" t="inlineStr">
        <is>
          <t>ENT (ear, nose, throat)</t>
        </is>
      </c>
      <c r="F12" t="inlineStr">
        <is>
          <t>Dr. Nina Linda Awad-Tujar</t>
        </is>
      </c>
      <c r="G12" t="inlineStr">
        <is>
          <t>Dr.</t>
        </is>
      </c>
      <c r="H12" t="inlineStr"/>
      <c r="I12" t="inlineStr">
        <is>
          <t>Hals-, Nasen- u. Ohrenheilkunde (alle Kassen)</t>
        </is>
      </c>
      <c r="J12" t="inlineStr"/>
      <c r="K12" t="inlineStr">
        <is>
          <t>vom 16.07.</t>
        </is>
      </c>
      <c r="L12" t="inlineStr">
        <is>
          <t>2026</t>
        </is>
      </c>
      <c r="M12" t="inlineStr">
        <is>
          <t>bis 23.07.2026 im Urlaub</t>
        </is>
      </c>
      <c r="N12" t="inlineStr"/>
      <c r="O12" t="inlineStr">
        <is>
          <t>+43 1 361 01 16</t>
        </is>
      </c>
      <c r="P12" t="inlineStr"/>
      <c r="Q12" t="inlineStr"/>
      <c r="R12" t="inlineStr">
        <is>
          <t>https://www.praxisplan.at/19132/nina-linda-awad-tujar/ordination/1</t>
        </is>
      </c>
      <c r="S12" t="inlineStr">
        <is>
          <t>https://www.praxisplan.at/suche?name=&amp;specialization=5&amp;zip=&amp;gender=&amp;diploma=&amp;specialty=&amp;insurance=&amp;vaccine=&amp;locale=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2</t>
        </is>
      </c>
      <c r="X12" t="inlineStr">
        <is>
          <t>Public phone, tier 2 phone-available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LEAD-00682</t>
        </is>
      </c>
      <c r="B13" t="inlineStr">
        <is>
          <t>2</t>
        </is>
      </c>
      <c r="C13" t="inlineStr">
        <is>
          <t>ent</t>
        </is>
      </c>
      <c r="D13" t="inlineStr">
        <is>
          <t>Hals-, Nasen- u. Ohrenheilkunde (HNO)</t>
        </is>
      </c>
      <c r="E13" t="inlineStr">
        <is>
          <t>ENT (ear, nose, throat)</t>
        </is>
      </c>
      <c r="F13" t="inlineStr">
        <is>
          <t>Dr. Arian Bachtiar</t>
        </is>
      </c>
      <c r="G13" t="inlineStr">
        <is>
          <t>Dr.</t>
        </is>
      </c>
      <c r="H13" t="inlineStr"/>
      <c r="I13" t="inlineStr">
        <is>
          <t>Hals-, Nasen- u. Ohrenheilkunde</t>
        </is>
      </c>
      <c r="J13" t="inlineStr"/>
      <c r="K13" t="inlineStr">
        <is>
          <t>Heiligenstädter Straße 46-48</t>
        </is>
      </c>
      <c r="L13" t="inlineStr">
        <is>
          <t>1190</t>
        </is>
      </c>
      <c r="M13" t="inlineStr">
        <is>
          <t>Wien</t>
        </is>
      </c>
      <c r="N13" t="inlineStr">
        <is>
          <t>19. Bezirk – Döbling</t>
        </is>
      </c>
      <c r="O13" t="inlineStr">
        <is>
          <t>+43 1 360 66 8000</t>
        </is>
      </c>
      <c r="P13" t="inlineStr"/>
      <c r="Q13" t="inlineStr"/>
      <c r="R13" t="inlineStr">
        <is>
          <t>https://www.praxisplan.at/3828/arian-bachtiar/ordination/1</t>
        </is>
      </c>
      <c r="S13" t="inlineStr">
        <is>
          <t>https://www.praxisplan.at/suche?name=&amp;specialization=5&amp;zip=&amp;gender=&amp;diploma=&amp;specialty=&amp;insurance=&amp;vaccine=&amp;locale=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3</t>
        </is>
      </c>
      <c r="X13" t="inlineStr">
        <is>
          <t>Public phone, vienna, tier 2 phone-available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LEAD-00683</t>
        </is>
      </c>
      <c r="B14" t="inlineStr">
        <is>
          <t>2</t>
        </is>
      </c>
      <c r="C14" t="inlineStr">
        <is>
          <t>ent</t>
        </is>
      </c>
      <c r="D14" t="inlineStr">
        <is>
          <t>Hals-, Nasen- u. Ohrenheilkunde (HNO)</t>
        </is>
      </c>
      <c r="E14" t="inlineStr">
        <is>
          <t>ENT (ear, nose, throat)</t>
        </is>
      </c>
      <c r="F14" t="inlineStr">
        <is>
          <t>Dr. Helka Barna-Soltani</t>
        </is>
      </c>
      <c r="G14" t="inlineStr">
        <is>
          <t>Dr.</t>
        </is>
      </c>
      <c r="H14" t="inlineStr"/>
      <c r="I14" t="inlineStr">
        <is>
          <t>Hals-, Nasen- u. Ohrenheilkunde (alle Kassen)</t>
        </is>
      </c>
      <c r="J14" t="inlineStr"/>
      <c r="K14" t="inlineStr">
        <is>
          <t>wieder geöffnet am 13.07.</t>
        </is>
      </c>
      <c r="L14" t="inlineStr">
        <is>
          <t>2026</t>
        </is>
      </c>
      <c r="M14" t="inlineStr">
        <is>
          <t>: 08.00 - 12.00 Uhr</t>
        </is>
      </c>
      <c r="N14" t="inlineStr"/>
      <c r="O14" t="inlineStr">
        <is>
          <t>+43 1 581 48 00</t>
        </is>
      </c>
      <c r="P14" t="inlineStr"/>
      <c r="Q14" t="inlineStr"/>
      <c r="R14" t="inlineStr">
        <is>
          <t>https://www.praxisplan.at/18879/helka-barna-soltani/ordination/1</t>
        </is>
      </c>
      <c r="S14" t="inlineStr">
        <is>
          <t>https://www.praxisplan.at/suche?name=&amp;specialization=5&amp;zip=&amp;gender=&amp;diploma=&amp;specialty=&amp;insurance=&amp;vaccine=&amp;locale=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2</t>
        </is>
      </c>
      <c r="X14" t="inlineStr">
        <is>
          <t>Public phone, tier 2 phone-available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LEAD-00684</t>
        </is>
      </c>
      <c r="B15" t="inlineStr">
        <is>
          <t>2</t>
        </is>
      </c>
      <c r="C15" t="inlineStr">
        <is>
          <t>ent</t>
        </is>
      </c>
      <c r="D15" t="inlineStr">
        <is>
          <t>Hals-, Nasen- u. Ohrenheilkunde (HNO)</t>
        </is>
      </c>
      <c r="E15" t="inlineStr">
        <is>
          <t>ENT (ear, nose, throat)</t>
        </is>
      </c>
      <c r="F15" t="inlineStr">
        <is>
          <t>Dr. Jacqueline Bauer</t>
        </is>
      </c>
      <c r="G15" t="inlineStr">
        <is>
          <t>Dr.</t>
        </is>
      </c>
      <c r="H15" t="inlineStr"/>
      <c r="I15" t="inlineStr">
        <is>
          <t>Hals-, Nasen- u. Ohrenheilkunde (alle Kassen)</t>
        </is>
      </c>
      <c r="J15" t="inlineStr"/>
      <c r="K15" t="inlineStr">
        <is>
          <t>wieder geöffnet am 13.07.</t>
        </is>
      </c>
      <c r="L15" t="inlineStr">
        <is>
          <t>2026</t>
        </is>
      </c>
      <c r="M15" t="inlineStr">
        <is>
          <t>: 13.30 - 15.30 Uhr</t>
        </is>
      </c>
      <c r="N15" t="inlineStr"/>
      <c r="O15" t="inlineStr">
        <is>
          <t>+43 1 545 48 80</t>
        </is>
      </c>
      <c r="P15" t="inlineStr"/>
      <c r="Q15" t="inlineStr"/>
      <c r="R15" t="inlineStr">
        <is>
          <t>https://www.praxisplan.at/7706/jacqueline-bauer/ordination/1</t>
        </is>
      </c>
      <c r="S15" t="inlineStr">
        <is>
          <t>https://www.praxisplan.at/suche?name=&amp;specialization=5&amp;zip=&amp;gender=&amp;diploma=&amp;specialty=&amp;insurance=&amp;vaccine=&amp;locale=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2</t>
        </is>
      </c>
      <c r="X15" t="inlineStr">
        <is>
          <t>Public phone, tier 2 phone-available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LEAD-00685</t>
        </is>
      </c>
      <c r="B16" t="inlineStr">
        <is>
          <t>2</t>
        </is>
      </c>
      <c r="C16" t="inlineStr">
        <is>
          <t>ent</t>
        </is>
      </c>
      <c r="D16" t="inlineStr">
        <is>
          <t>Hals-, Nasen- u. Ohrenheilkunde (HNO)</t>
        </is>
      </c>
      <c r="E16" t="inlineStr">
        <is>
          <t>ENT (ear, nose, throat)</t>
        </is>
      </c>
      <c r="F16" t="inlineStr">
        <is>
          <t>Dr. Alfred Berger</t>
        </is>
      </c>
      <c r="G16" t="inlineStr">
        <is>
          <t>Dr.</t>
        </is>
      </c>
      <c r="H16" t="inlineStr"/>
      <c r="I16" t="inlineStr">
        <is>
          <t>Hals-, Nasen- u. Ohrenheilkunde</t>
        </is>
      </c>
      <c r="J16" t="inlineStr"/>
      <c r="K16" t="inlineStr">
        <is>
          <t>Kirchengasse 38/1</t>
        </is>
      </c>
      <c r="L16" t="inlineStr">
        <is>
          <t>1070</t>
        </is>
      </c>
      <c r="M16" t="inlineStr">
        <is>
          <t>Wien</t>
        </is>
      </c>
      <c r="N16" t="inlineStr">
        <is>
          <t>7. Bezirk – Neubau</t>
        </is>
      </c>
      <c r="O16" t="inlineStr">
        <is>
          <t>+43 664 1983 696</t>
        </is>
      </c>
      <c r="P16" t="inlineStr"/>
      <c r="Q16" t="inlineStr"/>
      <c r="R16" t="inlineStr">
        <is>
          <t>https://www.praxisplan.at/3814/alfred-berger/ordination/1</t>
        </is>
      </c>
      <c r="S16" t="inlineStr">
        <is>
          <t>https://www.praxisplan.at/suche?name=&amp;specialization=5&amp;zip=&amp;gender=&amp;diploma=&amp;specialty=&amp;insurance=&amp;vaccine=&amp;locale=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3</t>
        </is>
      </c>
      <c r="X16" t="inlineStr">
        <is>
          <t>Public phone, vienna, tier 2 phone-available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  <row r="17">
      <c r="A17" t="inlineStr">
        <is>
          <t>LEAD-00686</t>
        </is>
      </c>
      <c r="B17" t="inlineStr">
        <is>
          <t>2</t>
        </is>
      </c>
      <c r="C17" t="inlineStr">
        <is>
          <t>ent</t>
        </is>
      </c>
      <c r="D17" t="inlineStr">
        <is>
          <t>Hals-, Nasen- u. Ohrenheilkunde (HNO)</t>
        </is>
      </c>
      <c r="E17" t="inlineStr">
        <is>
          <t>ENT (ear, nose, throat)</t>
        </is>
      </c>
      <c r="F17" t="inlineStr">
        <is>
          <t>Univ.Prof. DDr. Wolfgang Bigenzahn</t>
        </is>
      </c>
      <c r="G17" t="inlineStr">
        <is>
          <t>Univ.Prof.</t>
        </is>
      </c>
      <c r="H17" t="inlineStr"/>
      <c r="I17" t="inlineStr">
        <is>
          <t>Hals-, Nasen- u. Ohrenheilkunde</t>
        </is>
      </c>
      <c r="J17" t="inlineStr"/>
      <c r="K17" t="inlineStr">
        <is>
          <t>Lazarettgasse 25/1.Stock</t>
        </is>
      </c>
      <c r="L17" t="inlineStr">
        <is>
          <t>1090</t>
        </is>
      </c>
      <c r="M17" t="inlineStr">
        <is>
          <t>Wien</t>
        </is>
      </c>
      <c r="N17" t="inlineStr">
        <is>
          <t>9. Bezirk – Alsergrund</t>
        </is>
      </c>
      <c r="O17" t="inlineStr">
        <is>
          <t>+43 1 401 80 DW 1550</t>
        </is>
      </c>
      <c r="P17" t="inlineStr"/>
      <c r="Q17" t="inlineStr"/>
      <c r="R17" t="inlineStr">
        <is>
          <t>https://www.praxisplan.at/963/wolfgang-bigenzahn/ordination/1</t>
        </is>
      </c>
      <c r="S17" t="inlineStr">
        <is>
          <t>https://www.praxisplan.at/suche?name=&amp;specialization=5&amp;zip=&amp;gender=&amp;diploma=&amp;specialty=&amp;insurance=&amp;vaccine=&amp;locale=</t>
        </is>
      </c>
      <c r="T17" t="inlineStr">
        <is>
          <t>Praxisplan</t>
        </is>
      </c>
      <c r="U17" t="inlineStr"/>
      <c r="V17" t="inlineStr">
        <is>
          <t>Unknown</t>
        </is>
      </c>
      <c r="W17" t="inlineStr">
        <is>
          <t>3</t>
        </is>
      </c>
      <c r="X17" t="inlineStr">
        <is>
          <t>Public phone, vienna, tier 2 phone-available</t>
        </is>
      </c>
      <c r="Y17" t="inlineStr">
        <is>
          <t>Not contacted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No</t>
        </is>
      </c>
      <c r="AM17" t="inlineStr"/>
      <c r="AN17" t="inlineStr">
        <is>
          <t>Unknown</t>
        </is>
      </c>
      <c r="AO17" t="inlineStr"/>
      <c r="AP17" t="inlineStr"/>
      <c r="AQ17" t="inlineStr"/>
      <c r="AR17" t="inlineStr">
        <is>
          <t>2026-07-10</t>
        </is>
      </c>
    </row>
    <row r="18">
      <c r="A18" t="inlineStr">
        <is>
          <t>LEAD-00687</t>
        </is>
      </c>
      <c r="B18" t="inlineStr">
        <is>
          <t>2</t>
        </is>
      </c>
      <c r="C18" t="inlineStr">
        <is>
          <t>ent</t>
        </is>
      </c>
      <c r="D18" t="inlineStr">
        <is>
          <t>Hals-, Nasen- u. Ohrenheilkunde (HNO)</t>
        </is>
      </c>
      <c r="E18" t="inlineStr">
        <is>
          <t>ENT (ear, nose, throat)</t>
        </is>
      </c>
      <c r="F18" t="inlineStr">
        <is>
          <t>Univ.Prof. Dr. Klaus Böheim</t>
        </is>
      </c>
      <c r="G18" t="inlineStr">
        <is>
          <t>Univ.Prof. Dr.</t>
        </is>
      </c>
      <c r="H18" t="inlineStr"/>
      <c r="I18" t="inlineStr">
        <is>
          <t>Hals-, Nasen- u. Ohrenheilkunde</t>
        </is>
      </c>
      <c r="J18" t="inlineStr"/>
      <c r="K18" t="inlineStr">
        <is>
          <t>wieder geöffnet am 13.07.</t>
        </is>
      </c>
      <c r="L18" t="inlineStr">
        <is>
          <t>2026</t>
        </is>
      </c>
      <c r="M18" t="inlineStr">
        <is>
          <t>: 09.00 - 14.00 Uhr</t>
        </is>
      </c>
      <c r="N18" t="inlineStr"/>
      <c r="O18" t="inlineStr">
        <is>
          <t>+43 1 360 66 8000</t>
        </is>
      </c>
      <c r="P18" t="inlineStr"/>
      <c r="Q18" t="inlineStr"/>
      <c r="R18" t="inlineStr">
        <is>
          <t>https://www.praxisplan.at/10311/klaus-boheim/ordination/1</t>
        </is>
      </c>
      <c r="S18" t="inlineStr">
        <is>
          <t>https://www.praxisplan.at/suche?name=&amp;specialization=5&amp;zip=&amp;gender=&amp;diploma=&amp;specialty=&amp;insurance=&amp;vaccine=&amp;locale=</t>
        </is>
      </c>
      <c r="T18" t="inlineStr">
        <is>
          <t>Praxisplan</t>
        </is>
      </c>
      <c r="U18" t="inlineStr"/>
      <c r="V18" t="inlineStr">
        <is>
          <t>Unknown</t>
        </is>
      </c>
      <c r="W18" t="inlineStr">
        <is>
          <t>2</t>
        </is>
      </c>
      <c r="X18" t="inlineStr">
        <is>
          <t>Public phone, tier 2 phone-available</t>
        </is>
      </c>
      <c r="Y18" t="inlineStr">
        <is>
          <t>Not contacted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No</t>
        </is>
      </c>
      <c r="AM18" t="inlineStr"/>
      <c r="AN18" t="inlineStr">
        <is>
          <t>Unknown</t>
        </is>
      </c>
      <c r="AO18" t="inlineStr"/>
      <c r="AP18" t="inlineStr"/>
      <c r="AQ18" t="inlineStr"/>
      <c r="AR18" t="inlineStr">
        <is>
          <t>2026-07-10</t>
        </is>
      </c>
    </row>
    <row r="19">
      <c r="A19" t="inlineStr">
        <is>
          <t>LEAD-00688</t>
        </is>
      </c>
      <c r="B19" t="inlineStr">
        <is>
          <t>2</t>
        </is>
      </c>
      <c r="C19" t="inlineStr">
        <is>
          <t>ent</t>
        </is>
      </c>
      <c r="D19" t="inlineStr">
        <is>
          <t>Hals-, Nasen- u. Ohrenheilkunde (HNO)</t>
        </is>
      </c>
      <c r="E19" t="inlineStr">
        <is>
          <t>ENT (ear, nose, throat)</t>
        </is>
      </c>
      <c r="F19" t="inlineStr">
        <is>
          <t>Dr. Elisabeth Brand</t>
        </is>
      </c>
      <c r="G19" t="inlineStr">
        <is>
          <t>Dr.</t>
        </is>
      </c>
      <c r="H19" t="inlineStr"/>
      <c r="I19" t="inlineStr">
        <is>
          <t>Hals-, Nasen- u. Ohrenheilkunde</t>
        </is>
      </c>
      <c r="J19" t="inlineStr"/>
      <c r="K19" t="inlineStr">
        <is>
          <t>Garnisongasse 7/13</t>
        </is>
      </c>
      <c r="L19" t="inlineStr">
        <is>
          <t>1090</t>
        </is>
      </c>
      <c r="M19" t="inlineStr">
        <is>
          <t>Wien</t>
        </is>
      </c>
      <c r="N19" t="inlineStr">
        <is>
          <t>9. Bezirk – Alsergrund</t>
        </is>
      </c>
      <c r="O19" t="inlineStr">
        <is>
          <t>+43 1 402 22 22</t>
        </is>
      </c>
      <c r="P19" t="inlineStr"/>
      <c r="Q19" t="inlineStr"/>
      <c r="R19" t="inlineStr">
        <is>
          <t>https://www.praxisplan.at/3058/elisabeth-brand/ordination/1</t>
        </is>
      </c>
      <c r="S19" t="inlineStr">
        <is>
          <t>https://www.praxisplan.at/suche?name=&amp;specialization=5&amp;zip=&amp;gender=&amp;diploma=&amp;specialty=&amp;insurance=&amp;vaccine=&amp;locale=</t>
        </is>
      </c>
      <c r="T19" t="inlineStr">
        <is>
          <t>Praxisplan</t>
        </is>
      </c>
      <c r="U19" t="inlineStr"/>
      <c r="V19" t="inlineStr">
        <is>
          <t>Unknown</t>
        </is>
      </c>
      <c r="W19" t="inlineStr">
        <is>
          <t>3</t>
        </is>
      </c>
      <c r="X19" t="inlineStr">
        <is>
          <t>Public phone, vienna, tier 2 phone-available</t>
        </is>
      </c>
      <c r="Y19" t="inlineStr">
        <is>
          <t>Not contacted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>
        <is>
          <t>No</t>
        </is>
      </c>
      <c r="AM19" t="inlineStr"/>
      <c r="AN19" t="inlineStr">
        <is>
          <t>Unknown</t>
        </is>
      </c>
      <c r="AO19" t="inlineStr"/>
      <c r="AP19" t="inlineStr"/>
      <c r="AQ19" t="inlineStr"/>
      <c r="AR19" t="inlineStr">
        <is>
          <t>2026-07-10</t>
        </is>
      </c>
    </row>
    <row r="20">
      <c r="A20" t="inlineStr">
        <is>
          <t>LEAD-00689</t>
        </is>
      </c>
      <c r="B20" t="inlineStr">
        <is>
          <t>2</t>
        </is>
      </c>
      <c r="C20" t="inlineStr">
        <is>
          <t>ent</t>
        </is>
      </c>
      <c r="D20" t="inlineStr">
        <is>
          <t>Hals-, Nasen- u. Ohrenheilkunde (HNO)</t>
        </is>
      </c>
      <c r="E20" t="inlineStr">
        <is>
          <t>ENT (ear, nose, throat)</t>
        </is>
      </c>
      <c r="F20" t="inlineStr">
        <is>
          <t>Dr. Christoph Brand</t>
        </is>
      </c>
      <c r="G20" t="inlineStr">
        <is>
          <t>Dr.</t>
        </is>
      </c>
      <c r="H20" t="inlineStr"/>
      <c r="I20" t="inlineStr">
        <is>
          <t>Hals-, Nasen- u. Ohrenheilkunde (alle Kassen)</t>
        </is>
      </c>
      <c r="J20" t="inlineStr"/>
      <c r="K20" t="inlineStr">
        <is>
          <t>vom 13.07.</t>
        </is>
      </c>
      <c r="L20" t="inlineStr">
        <is>
          <t>2026</t>
        </is>
      </c>
      <c r="M20" t="inlineStr">
        <is>
          <t>bis 17.07.2026 im Urlaub</t>
        </is>
      </c>
      <c r="N20" t="inlineStr"/>
      <c r="O20" t="inlineStr">
        <is>
          <t>+43 1 720 07 70</t>
        </is>
      </c>
      <c r="P20" t="inlineStr"/>
      <c r="Q20" t="inlineStr"/>
      <c r="R20" t="inlineStr">
        <is>
          <t>https://www.praxisplan.at/7274/christoph-brand/ordination/1</t>
        </is>
      </c>
      <c r="S20" t="inlineStr">
        <is>
          <t>https://www.praxisplan.at/suche?name=&amp;specialization=5&amp;zip=&amp;gender=&amp;diploma=&amp;specialty=&amp;insurance=&amp;vaccine=&amp;locale=</t>
        </is>
      </c>
      <c r="T20" t="inlineStr">
        <is>
          <t>Praxisplan</t>
        </is>
      </c>
      <c r="U20" t="inlineStr"/>
      <c r="V20" t="inlineStr">
        <is>
          <t>Unknown</t>
        </is>
      </c>
      <c r="W20" t="inlineStr">
        <is>
          <t>2</t>
        </is>
      </c>
      <c r="X20" t="inlineStr">
        <is>
          <t>Public phone, tier 2 phone-available</t>
        </is>
      </c>
      <c r="Y20" t="inlineStr">
        <is>
          <t>Not contacted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No</t>
        </is>
      </c>
      <c r="AM20" t="inlineStr"/>
      <c r="AN20" t="inlineStr">
        <is>
          <t>Unknown</t>
        </is>
      </c>
      <c r="AO20" t="inlineStr"/>
      <c r="AP20" t="inlineStr"/>
      <c r="AQ20" t="inlineStr"/>
      <c r="AR20" t="inlineStr">
        <is>
          <t>2026-07-10</t>
        </is>
      </c>
    </row>
    <row r="21">
      <c r="A21" t="inlineStr">
        <is>
          <t>LEAD-00690</t>
        </is>
      </c>
      <c r="B21" t="inlineStr">
        <is>
          <t>2</t>
        </is>
      </c>
      <c r="C21" t="inlineStr">
        <is>
          <t>ent</t>
        </is>
      </c>
      <c r="D21" t="inlineStr">
        <is>
          <t>Hals-, Nasen- u. Ohrenheilkunde (HNO)</t>
        </is>
      </c>
      <c r="E21" t="inlineStr">
        <is>
          <t>ENT (ear, nose, throat)</t>
        </is>
      </c>
      <c r="F21" t="inlineStr">
        <is>
          <t>Priv.Doz. DDr. Faris Brkic</t>
        </is>
      </c>
      <c r="G21" t="inlineStr"/>
      <c r="H21" t="inlineStr"/>
      <c r="I21" t="inlineStr">
        <is>
          <t>Hals-, Nasen- u. Ohrenheilkunde</t>
        </is>
      </c>
      <c r="J21" t="inlineStr"/>
      <c r="K21" t="inlineStr">
        <is>
          <t>Billrothstraße 78</t>
        </is>
      </c>
      <c r="L21" t="inlineStr">
        <is>
          <t>1190</t>
        </is>
      </c>
      <c r="M21" t="inlineStr">
        <is>
          <t>Wien</t>
        </is>
      </c>
      <c r="N21" t="inlineStr">
        <is>
          <t>19. Bezirk – Döbling</t>
        </is>
      </c>
      <c r="O21" t="inlineStr">
        <is>
          <t>+43 1 36036 5900</t>
        </is>
      </c>
      <c r="P21" t="inlineStr"/>
      <c r="Q21" t="inlineStr"/>
      <c r="R21" t="inlineStr">
        <is>
          <t>https://www.praxisplan.at/12009/faris-brkic/ordination/1</t>
        </is>
      </c>
      <c r="S21" t="inlineStr">
        <is>
          <t>https://www.praxisplan.at/suche?name=&amp;specialization=5&amp;zip=&amp;gender=&amp;diploma=&amp;specialty=&amp;insurance=&amp;vaccine=&amp;locale=</t>
        </is>
      </c>
      <c r="T21" t="inlineStr">
        <is>
          <t>Praxisplan</t>
        </is>
      </c>
      <c r="U21" t="inlineStr"/>
      <c r="V21" t="inlineStr">
        <is>
          <t>Unknown</t>
        </is>
      </c>
      <c r="W21" t="inlineStr">
        <is>
          <t>3</t>
        </is>
      </c>
      <c r="X21" t="inlineStr">
        <is>
          <t>Public phone, vienna, tier 2 phone-available</t>
        </is>
      </c>
      <c r="Y21" t="inlineStr">
        <is>
          <t>Not contacted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/>
      <c r="AN21" t="inlineStr">
        <is>
          <t>Unknown</t>
        </is>
      </c>
      <c r="AO21" t="inlineStr"/>
      <c r="AP21" t="inlineStr"/>
      <c r="AQ21" t="inlineStr"/>
      <c r="AR21" t="inlineStr">
        <is>
          <t>2026-07-10</t>
        </is>
      </c>
    </row>
    <row r="22">
      <c r="A22" t="inlineStr">
        <is>
          <t>LEAD-00691</t>
        </is>
      </c>
      <c r="B22" t="inlineStr">
        <is>
          <t>2</t>
        </is>
      </c>
      <c r="C22" t="inlineStr">
        <is>
          <t>ent</t>
        </is>
      </c>
      <c r="D22" t="inlineStr">
        <is>
          <t>Hals-, Nasen- u. Ohrenheilkunde (HNO)</t>
        </is>
      </c>
      <c r="E22" t="inlineStr">
        <is>
          <t>ENT (ear, nose, throat)</t>
        </is>
      </c>
      <c r="F22" t="inlineStr">
        <is>
          <t>Assoc.Prof.Priv.Doz. Dr. Markus Brunner</t>
        </is>
      </c>
      <c r="G22" t="inlineStr"/>
      <c r="H22" t="inlineStr"/>
      <c r="I22" t="inlineStr">
        <is>
          <t>Hals-, Nasen- u. Ohrenheilkunde</t>
        </is>
      </c>
      <c r="J22" t="inlineStr"/>
      <c r="K22" t="inlineStr">
        <is>
          <t>wieder geöffnet am 15.07.</t>
        </is>
      </c>
      <c r="L22" t="inlineStr">
        <is>
          <t>2026</t>
        </is>
      </c>
      <c r="M22" t="inlineStr">
        <is>
          <t>: 16.00 - 18.30 Uhr</t>
        </is>
      </c>
      <c r="N22" t="inlineStr"/>
      <c r="O22" t="inlineStr">
        <is>
          <t>+43 1 367 44 26</t>
        </is>
      </c>
      <c r="P22" t="inlineStr"/>
      <c r="Q22" t="inlineStr"/>
      <c r="R22" t="inlineStr">
        <is>
          <t>https://www.praxisplan.at/7066/markus-brunner/ordination/1</t>
        </is>
      </c>
      <c r="S22" t="inlineStr">
        <is>
          <t>https://www.praxisplan.at/suche?name=&amp;specialization=5&amp;zip=&amp;gender=&amp;diploma=&amp;specialty=&amp;insurance=&amp;vaccine=&amp;locale=</t>
        </is>
      </c>
      <c r="T22" t="inlineStr">
        <is>
          <t>Praxisplan</t>
        </is>
      </c>
      <c r="U22" t="inlineStr"/>
      <c r="V22" t="inlineStr">
        <is>
          <t>Unknown</t>
        </is>
      </c>
      <c r="W22" t="inlineStr">
        <is>
          <t>2</t>
        </is>
      </c>
      <c r="X22" t="inlineStr">
        <is>
          <t>Public phone, tier 2 phone-available</t>
        </is>
      </c>
      <c r="Y22" t="inlineStr">
        <is>
          <t>Not contacted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No</t>
        </is>
      </c>
      <c r="AM22" t="inlineStr"/>
      <c r="AN22" t="inlineStr">
        <is>
          <t>Unknown</t>
        </is>
      </c>
      <c r="AO22" t="inlineStr"/>
      <c r="AP22" t="inlineStr"/>
      <c r="AQ22" t="inlineStr"/>
      <c r="AR22" t="inlineStr">
        <is>
          <t>2026-07-10</t>
        </is>
      </c>
    </row>
    <row r="23">
      <c r="A23" t="inlineStr">
        <is>
          <t>LEAD-00692</t>
        </is>
      </c>
      <c r="B23" t="inlineStr">
        <is>
          <t>2</t>
        </is>
      </c>
      <c r="C23" t="inlineStr">
        <is>
          <t>ent</t>
        </is>
      </c>
      <c r="D23" t="inlineStr">
        <is>
          <t>Hals-, Nasen- u. Ohrenheilkunde (HNO)</t>
        </is>
      </c>
      <c r="E23" t="inlineStr">
        <is>
          <t>ENT (ear, nose, throat)</t>
        </is>
      </c>
      <c r="F23" t="inlineStr">
        <is>
          <t>Prof. Dr. Guido Andreas Budik</t>
        </is>
      </c>
      <c r="G23" t="inlineStr">
        <is>
          <t>Prof. Dr.</t>
        </is>
      </c>
      <c r="H23" t="inlineStr"/>
      <c r="I23" t="inlineStr">
        <is>
          <t>Hals-, Nasen- u. Ohrenheilkunde (alle Kassen)</t>
        </is>
      </c>
      <c r="J23" t="inlineStr"/>
      <c r="K23" t="inlineStr">
        <is>
          <t>wieder geöffnet am 13.07.</t>
        </is>
      </c>
      <c r="L23" t="inlineStr">
        <is>
          <t>2026</t>
        </is>
      </c>
      <c r="M23" t="inlineStr">
        <is>
          <t>: 10.00 - 19.00 Uhr</t>
        </is>
      </c>
      <c r="N23" t="inlineStr"/>
      <c r="O23" t="inlineStr">
        <is>
          <t>+43 1 712 00 60</t>
        </is>
      </c>
      <c r="P23" t="inlineStr"/>
      <c r="Q23" t="inlineStr"/>
      <c r="R23" t="inlineStr">
        <is>
          <t>https://www.praxisplan.at/1906/guido-andreas-budik/ordination/1</t>
        </is>
      </c>
      <c r="S23" t="inlineStr">
        <is>
          <t>https://www.praxisplan.at/suche?name=&amp;specialization=5&amp;zip=&amp;gender=&amp;diploma=&amp;specialty=&amp;insurance=&amp;vaccine=&amp;locale=</t>
        </is>
      </c>
      <c r="T23" t="inlineStr">
        <is>
          <t>Praxisplan</t>
        </is>
      </c>
      <c r="U23" t="inlineStr"/>
      <c r="V23" t="inlineStr">
        <is>
          <t>Unknown</t>
        </is>
      </c>
      <c r="W23" t="inlineStr">
        <is>
          <t>2</t>
        </is>
      </c>
      <c r="X23" t="inlineStr">
        <is>
          <t>Public phone, tier 2 phone-available</t>
        </is>
      </c>
      <c r="Y23" t="inlineStr">
        <is>
          <t>Not contacted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No</t>
        </is>
      </c>
      <c r="AM23" t="inlineStr"/>
      <c r="AN23" t="inlineStr">
        <is>
          <t>Unknown</t>
        </is>
      </c>
      <c r="AO23" t="inlineStr"/>
      <c r="AP23" t="inlineStr"/>
      <c r="AQ23" t="inlineStr"/>
      <c r="AR23" t="inlineStr">
        <is>
          <t>2026-07-10</t>
        </is>
      </c>
    </row>
    <row r="24">
      <c r="A24" t="inlineStr">
        <is>
          <t>LEAD-00693</t>
        </is>
      </c>
      <c r="B24" t="inlineStr">
        <is>
          <t>2</t>
        </is>
      </c>
      <c r="C24" t="inlineStr">
        <is>
          <t>ent</t>
        </is>
      </c>
      <c r="D24" t="inlineStr">
        <is>
          <t>Hals-, Nasen- u. Ohrenheilkunde (HNO)</t>
        </is>
      </c>
      <c r="E24" t="inlineStr">
        <is>
          <t>ENT (ear, nose, throat)</t>
        </is>
      </c>
      <c r="F24" t="inlineStr">
        <is>
          <t>Dr. Kamillo Bukovics</t>
        </is>
      </c>
      <c r="G24" t="inlineStr">
        <is>
          <t>Dr.</t>
        </is>
      </c>
      <c r="H24" t="inlineStr"/>
      <c r="I24" t="inlineStr">
        <is>
          <t>Informationen zum*zur Ärzt*in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https://www.praxisplan.at/686/kamillo-bukovics</t>
        </is>
      </c>
      <c r="S24" t="inlineStr">
        <is>
          <t>https://www.praxisplan.at/suche?name=&amp;specialization=5&amp;zip=&amp;gender=&amp;diploma=&amp;specialty=&amp;insurance=&amp;vaccine=&amp;locale=</t>
        </is>
      </c>
      <c r="T24" t="inlineStr">
        <is>
          <t>Praxisplan</t>
        </is>
      </c>
      <c r="U24" t="inlineStr"/>
      <c r="V24" t="inlineStr">
        <is>
          <t>Unknown</t>
        </is>
      </c>
      <c r="W24" t="inlineStr">
        <is>
          <t>0</t>
        </is>
      </c>
      <c r="X24" t="inlineStr">
        <is>
          <t>Needs manual review</t>
        </is>
      </c>
      <c r="Y24" t="inlineStr">
        <is>
          <t>Not contacted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No</t>
        </is>
      </c>
      <c r="AM24" t="inlineStr"/>
      <c r="AN24" t="inlineStr">
        <is>
          <t>Unknown</t>
        </is>
      </c>
      <c r="AO24" t="inlineStr"/>
      <c r="AP24" t="inlineStr"/>
      <c r="AQ24" t="inlineStr"/>
      <c r="AR24" t="inlineStr">
        <is>
          <t>2026-07-10</t>
        </is>
      </c>
    </row>
    <row r="25">
      <c r="A25" t="inlineStr">
        <is>
          <t>LEAD-00694</t>
        </is>
      </c>
      <c r="B25" t="inlineStr">
        <is>
          <t>2</t>
        </is>
      </c>
      <c r="C25" t="inlineStr">
        <is>
          <t>ent</t>
        </is>
      </c>
      <c r="D25" t="inlineStr">
        <is>
          <t>Hals-, Nasen- u. Ohrenheilkunde (HNO)</t>
        </is>
      </c>
      <c r="E25" t="inlineStr">
        <is>
          <t>ENT (ear, nose, throat)</t>
        </is>
      </c>
      <c r="F25" t="inlineStr">
        <is>
          <t>Prim.Univ.Prof. Dr. Martin Burian</t>
        </is>
      </c>
      <c r="G25" t="inlineStr"/>
      <c r="H25" t="inlineStr"/>
      <c r="I25" t="inlineStr">
        <is>
          <t>Hals-, Nasen- u. Ohrenheilkunde</t>
        </is>
      </c>
      <c r="J25" t="inlineStr"/>
      <c r="K25" t="inlineStr">
        <is>
          <t>Schleifmühlgasse 7/12</t>
        </is>
      </c>
      <c r="L25" t="inlineStr">
        <is>
          <t>1040</t>
        </is>
      </c>
      <c r="M25" t="inlineStr">
        <is>
          <t>Wien</t>
        </is>
      </c>
      <c r="N25" t="inlineStr">
        <is>
          <t>4. Bezirk – Wieden</t>
        </is>
      </c>
      <c r="O25" t="inlineStr">
        <is>
          <t>+43 1 587 41 50</t>
        </is>
      </c>
      <c r="P25" t="inlineStr"/>
      <c r="Q25" t="inlineStr"/>
      <c r="R25" t="inlineStr">
        <is>
          <t>https://www.praxisplan.at/1251/martin-burian/ordination/1</t>
        </is>
      </c>
      <c r="S25" t="inlineStr">
        <is>
          <t>https://www.praxisplan.at/suche?name=&amp;specialization=5&amp;zip=&amp;gender=&amp;diploma=&amp;specialty=&amp;insurance=&amp;vaccine=&amp;locale=</t>
        </is>
      </c>
      <c r="T25" t="inlineStr">
        <is>
          <t>Praxisplan</t>
        </is>
      </c>
      <c r="U25" t="inlineStr"/>
      <c r="V25" t="inlineStr">
        <is>
          <t>Unknown</t>
        </is>
      </c>
      <c r="W25" t="inlineStr">
        <is>
          <t>3</t>
        </is>
      </c>
      <c r="X25" t="inlineStr">
        <is>
          <t>Public phone, vienna, tier 2 phone-available</t>
        </is>
      </c>
      <c r="Y25" t="inlineStr">
        <is>
          <t>Not contacted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No</t>
        </is>
      </c>
      <c r="AM25" t="inlineStr"/>
      <c r="AN25" t="inlineStr">
        <is>
          <t>Unknown</t>
        </is>
      </c>
      <c r="AO25" t="inlineStr"/>
      <c r="AP25" t="inlineStr"/>
      <c r="AQ25" t="inlineStr"/>
      <c r="AR25" t="inlineStr">
        <is>
          <t>2026-07-10</t>
        </is>
      </c>
    </row>
    <row r="26">
      <c r="A26" t="inlineStr">
        <is>
          <t>LEAD-00695</t>
        </is>
      </c>
      <c r="B26" t="inlineStr">
        <is>
          <t>2</t>
        </is>
      </c>
      <c r="C26" t="inlineStr">
        <is>
          <t>ent</t>
        </is>
      </c>
      <c r="D26" t="inlineStr">
        <is>
          <t>Hals-, Nasen- u. Ohrenheilkunde (HNO)</t>
        </is>
      </c>
      <c r="E26" t="inlineStr">
        <is>
          <t>ENT (ear, nose, throat)</t>
        </is>
      </c>
      <c r="F26" t="inlineStr">
        <is>
          <t>Prim. Univ.Doz. Dr. Monika Cartellieri</t>
        </is>
      </c>
      <c r="G26" t="inlineStr">
        <is>
          <t>Prim.</t>
        </is>
      </c>
      <c r="H26" t="inlineStr"/>
      <c r="I26" t="inlineStr">
        <is>
          <t>Hals-, Nasen- u. Ohrenheilkunde</t>
        </is>
      </c>
      <c r="J26" t="inlineStr"/>
      <c r="K26" t="inlineStr">
        <is>
          <t>wieder geöffnet am 13.07.</t>
        </is>
      </c>
      <c r="L26" t="inlineStr">
        <is>
          <t>2026</t>
        </is>
      </c>
      <c r="M26" t="inlineStr">
        <is>
          <t>: 16.00 - 18.00 Uhr</t>
        </is>
      </c>
      <c r="N26" t="inlineStr"/>
      <c r="O26" t="inlineStr">
        <is>
          <t>+43 1 360 36 DW 3000</t>
        </is>
      </c>
      <c r="P26" t="inlineStr"/>
      <c r="Q26" t="inlineStr"/>
      <c r="R26" t="inlineStr">
        <is>
          <t>https://www.praxisplan.at/2890/monika-cartellieri/ordination/1</t>
        </is>
      </c>
      <c r="S26" t="inlineStr">
        <is>
          <t>https://www.praxisplan.at/suche?name=&amp;specialization=5&amp;zip=&amp;gender=&amp;diploma=&amp;specialty=&amp;insurance=&amp;vaccine=&amp;locale=</t>
        </is>
      </c>
      <c r="T26" t="inlineStr">
        <is>
          <t>Praxisplan</t>
        </is>
      </c>
      <c r="U26" t="inlineStr"/>
      <c r="V26" t="inlineStr">
        <is>
          <t>Unknown</t>
        </is>
      </c>
      <c r="W26" t="inlineStr">
        <is>
          <t>2</t>
        </is>
      </c>
      <c r="X26" t="inlineStr">
        <is>
          <t>Public phone, tier 2 phone-available</t>
        </is>
      </c>
      <c r="Y26" t="inlineStr">
        <is>
          <t>Not contacted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/>
      <c r="AN26" t="inlineStr">
        <is>
          <t>Unknown</t>
        </is>
      </c>
      <c r="AO26" t="inlineStr"/>
      <c r="AP26" t="inlineStr"/>
      <c r="AQ26" t="inlineStr"/>
      <c r="AR26" t="inlineStr">
        <is>
          <t>2026-07-10</t>
        </is>
      </c>
    </row>
    <row r="27">
      <c r="A27" t="inlineStr">
        <is>
          <t>LEAD-00696</t>
        </is>
      </c>
      <c r="B27" t="inlineStr">
        <is>
          <t>2</t>
        </is>
      </c>
      <c r="C27" t="inlineStr">
        <is>
          <t>ent</t>
        </is>
      </c>
      <c r="D27" t="inlineStr">
        <is>
          <t>Hals-, Nasen- u. Ohrenheilkunde (HNO)</t>
        </is>
      </c>
      <c r="E27" t="inlineStr">
        <is>
          <t>ENT (ear, nose, throat)</t>
        </is>
      </c>
      <c r="F27" t="inlineStr">
        <is>
          <t>Dr. Martin Chladek</t>
        </is>
      </c>
      <c r="G27" t="inlineStr">
        <is>
          <t>Dr.</t>
        </is>
      </c>
      <c r="H27" t="inlineStr"/>
      <c r="I27" t="inlineStr">
        <is>
          <t>Hals-, Nasen- u. Ohrenheilkunde</t>
        </is>
      </c>
      <c r="J27" t="inlineStr"/>
      <c r="K27" t="inlineStr">
        <is>
          <t>Vorgartenstraße 206 C</t>
        </is>
      </c>
      <c r="L27" t="inlineStr">
        <is>
          <t>1020</t>
        </is>
      </c>
      <c r="M27" t="inlineStr">
        <is>
          <t>Wien</t>
        </is>
      </c>
      <c r="N27" t="inlineStr">
        <is>
          <t>2. Bezirk – Leopoldstadt</t>
        </is>
      </c>
      <c r="O27" t="inlineStr">
        <is>
          <t>+43 1 890 45 20</t>
        </is>
      </c>
      <c r="P27" t="inlineStr"/>
      <c r="Q27" t="inlineStr"/>
      <c r="R27" t="inlineStr">
        <is>
          <t>https://www.praxisplan.at/9629/martin-chladek/ordination/1</t>
        </is>
      </c>
      <c r="S27" t="inlineStr">
        <is>
          <t>https://www.praxisplan.at/suche?name=&amp;specialization=5&amp;zip=&amp;gender=&amp;diploma=&amp;specialty=&amp;insurance=&amp;vaccine=&amp;locale=</t>
        </is>
      </c>
      <c r="T27" t="inlineStr">
        <is>
          <t>Praxisplan</t>
        </is>
      </c>
      <c r="U27" t="inlineStr"/>
      <c r="V27" t="inlineStr">
        <is>
          <t>Unknown</t>
        </is>
      </c>
      <c r="W27" t="inlineStr">
        <is>
          <t>3</t>
        </is>
      </c>
      <c r="X27" t="inlineStr">
        <is>
          <t>Public phone, vienna, tier 2 phone-available</t>
        </is>
      </c>
      <c r="Y27" t="inlineStr">
        <is>
          <t>Not contacted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No</t>
        </is>
      </c>
      <c r="AM27" t="inlineStr"/>
      <c r="AN27" t="inlineStr">
        <is>
          <t>Unknown</t>
        </is>
      </c>
      <c r="AO27" t="inlineStr"/>
      <c r="AP27" t="inlineStr"/>
      <c r="AQ27" t="inlineStr"/>
      <c r="AR27" t="inlineStr">
        <is>
          <t>2026-07-10</t>
        </is>
      </c>
    </row>
    <row r="28">
      <c r="A28" t="inlineStr">
        <is>
          <t>LEAD-00697</t>
        </is>
      </c>
      <c r="B28" t="inlineStr">
        <is>
          <t>2</t>
        </is>
      </c>
      <c r="C28" t="inlineStr">
        <is>
          <t>ent</t>
        </is>
      </c>
      <c r="D28" t="inlineStr">
        <is>
          <t>Hals-, Nasen- u. Ohrenheilkunde (HNO)</t>
        </is>
      </c>
      <c r="E28" t="inlineStr">
        <is>
          <t>ENT (ear, nose, throat)</t>
        </is>
      </c>
      <c r="F28" t="inlineStr">
        <is>
          <t>Dr. Michael Dialer</t>
        </is>
      </c>
      <c r="G28" t="inlineStr">
        <is>
          <t>Dr.</t>
        </is>
      </c>
      <c r="H28" t="inlineStr"/>
      <c r="I28" t="inlineStr">
        <is>
          <t>Hals-, Nasen- u. Ohrenheilkunde (alle Kassen)</t>
        </is>
      </c>
      <c r="J28" t="inlineStr"/>
      <c r="K28" t="inlineStr">
        <is>
          <t>Stadlauer Straße 62/Top 9</t>
        </is>
      </c>
      <c r="L28" t="inlineStr">
        <is>
          <t>1220</t>
        </is>
      </c>
      <c r="M28" t="inlineStr">
        <is>
          <t>Wien</t>
        </is>
      </c>
      <c r="N28" t="inlineStr">
        <is>
          <t>22. Bezirk – Donaustadt</t>
        </is>
      </c>
      <c r="O28" t="inlineStr">
        <is>
          <t>+43 1 258 31 84</t>
        </is>
      </c>
      <c r="P28" t="inlineStr"/>
      <c r="Q28" t="inlineStr"/>
      <c r="R28" t="inlineStr">
        <is>
          <t>https://www.praxisplan.at/6931/michael-dialer/ordination/1</t>
        </is>
      </c>
      <c r="S28" t="inlineStr">
        <is>
          <t>https://www.praxisplan.at/suche?name=&amp;specialization=5&amp;zip=&amp;gender=&amp;diploma=&amp;specialty=&amp;insurance=&amp;vaccine=&amp;locale=</t>
        </is>
      </c>
      <c r="T28" t="inlineStr">
        <is>
          <t>Praxisplan</t>
        </is>
      </c>
      <c r="U28" t="inlineStr"/>
      <c r="V28" t="inlineStr">
        <is>
          <t>Unknown</t>
        </is>
      </c>
      <c r="W28" t="inlineStr">
        <is>
          <t>3</t>
        </is>
      </c>
      <c r="X28" t="inlineStr">
        <is>
          <t>Public phone, vienna, tier 2 phone-available</t>
        </is>
      </c>
      <c r="Y28" t="inlineStr">
        <is>
          <t>Not contacted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/>
      <c r="AN28" t="inlineStr">
        <is>
          <t>Unknown</t>
        </is>
      </c>
      <c r="AO28" t="inlineStr"/>
      <c r="AP28" t="inlineStr"/>
      <c r="AQ28" t="inlineStr"/>
      <c r="AR28" t="inlineStr">
        <is>
          <t>2026-07-10</t>
        </is>
      </c>
    </row>
    <row r="29">
      <c r="A29" t="inlineStr">
        <is>
          <t>LEAD-00698</t>
        </is>
      </c>
      <c r="B29" t="inlineStr">
        <is>
          <t>2</t>
        </is>
      </c>
      <c r="C29" t="inlineStr">
        <is>
          <t>ent</t>
        </is>
      </c>
      <c r="D29" t="inlineStr">
        <is>
          <t>Hals-, Nasen- u. Ohrenheilkunde (HNO)</t>
        </is>
      </c>
      <c r="E29" t="inlineStr">
        <is>
          <t>ENT (ear, nose, throat)</t>
        </is>
      </c>
      <c r="F29" t="inlineStr">
        <is>
          <t>Priv.Doz. Dr. med. habil Dr. Marc Diensthuber</t>
        </is>
      </c>
      <c r="G29" t="inlineStr">
        <is>
          <t>Priv.Doz. Dr.</t>
        </is>
      </c>
      <c r="H29" t="inlineStr"/>
      <c r="I29" t="inlineStr">
        <is>
          <t>Hals-, Nasen- u. Ohrenheilkunde</t>
        </is>
      </c>
      <c r="J29" t="inlineStr"/>
      <c r="K29" t="inlineStr">
        <is>
          <t>Schumanngasse 84</t>
        </is>
      </c>
      <c r="L29" t="inlineStr">
        <is>
          <t>1170</t>
        </is>
      </c>
      <c r="M29" t="inlineStr">
        <is>
          <t>Wien</t>
        </is>
      </c>
      <c r="N29" t="inlineStr">
        <is>
          <t>17. Bezirk – Hernals</t>
        </is>
      </c>
      <c r="O29" t="inlineStr">
        <is>
          <t>+43 1 480 30 10</t>
        </is>
      </c>
      <c r="P29" t="inlineStr"/>
      <c r="Q29" t="inlineStr"/>
      <c r="R29" t="inlineStr">
        <is>
          <t>https://www.praxisplan.at/19419/marc-diensthuber/ordination/1</t>
        </is>
      </c>
      <c r="S29" t="inlineStr">
        <is>
          <t>https://www.praxisplan.at/suche?name=&amp;specialization=5&amp;zip=&amp;gender=&amp;diploma=&amp;specialty=&amp;insurance=&amp;vaccine=&amp;locale=</t>
        </is>
      </c>
      <c r="T29" t="inlineStr">
        <is>
          <t>Praxisplan</t>
        </is>
      </c>
      <c r="U29" t="inlineStr"/>
      <c r="V29" t="inlineStr">
        <is>
          <t>Unknown</t>
        </is>
      </c>
      <c r="W29" t="inlineStr">
        <is>
          <t>3</t>
        </is>
      </c>
      <c r="X29" t="inlineStr">
        <is>
          <t>Public phone, vienna, tier 2 phone-available</t>
        </is>
      </c>
      <c r="Y29" t="inlineStr">
        <is>
          <t>Not contacted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No</t>
        </is>
      </c>
      <c r="AM29" t="inlineStr"/>
      <c r="AN29" t="inlineStr">
        <is>
          <t>Unknown</t>
        </is>
      </c>
      <c r="AO29" t="inlineStr"/>
      <c r="AP29" t="inlineStr"/>
      <c r="AQ29" t="inlineStr"/>
      <c r="AR29" t="inlineStr">
        <is>
          <t>2026-07-10</t>
        </is>
      </c>
    </row>
    <row r="30">
      <c r="A30" t="inlineStr">
        <is>
          <t>LEAD-00699</t>
        </is>
      </c>
      <c r="B30" t="inlineStr">
        <is>
          <t>2</t>
        </is>
      </c>
      <c r="C30" t="inlineStr">
        <is>
          <t>ent</t>
        </is>
      </c>
      <c r="D30" t="inlineStr">
        <is>
          <t>Hals-, Nasen- u. Ohrenheilkunde (HNO)</t>
        </is>
      </c>
      <c r="E30" t="inlineStr">
        <is>
          <t>ENT (ear, nose, throat)</t>
        </is>
      </c>
      <c r="F30" t="inlineStr">
        <is>
          <t>Dr. Peter Dittrich</t>
        </is>
      </c>
      <c r="G30" t="inlineStr">
        <is>
          <t>Dr.</t>
        </is>
      </c>
      <c r="H30" t="inlineStr"/>
      <c r="I30" t="inlineStr">
        <is>
          <t>Hals-, Nasen- u. Ohrenheilkunde</t>
        </is>
      </c>
      <c r="J30" t="inlineStr"/>
      <c r="K30" t="inlineStr">
        <is>
          <t>Dornbacher Straße 63/2 a</t>
        </is>
      </c>
      <c r="L30" t="inlineStr">
        <is>
          <t>1170</t>
        </is>
      </c>
      <c r="M30" t="inlineStr">
        <is>
          <t>Wien</t>
        </is>
      </c>
      <c r="N30" t="inlineStr">
        <is>
          <t>17. Bezirk – Hernals</t>
        </is>
      </c>
      <c r="O30" t="inlineStr">
        <is>
          <t>+43 1 487 87 57</t>
        </is>
      </c>
      <c r="P30" t="inlineStr"/>
      <c r="Q30" t="inlineStr"/>
      <c r="R30" t="inlineStr">
        <is>
          <t>https://www.praxisplan.at/567/peter-dittrich/ordination/1</t>
        </is>
      </c>
      <c r="S30" t="inlineStr">
        <is>
          <t>https://www.praxisplan.at/suche?name=&amp;specialization=5&amp;zip=&amp;gender=&amp;diploma=&amp;specialty=&amp;insurance=&amp;vaccine=&amp;locale=</t>
        </is>
      </c>
      <c r="T30" t="inlineStr">
        <is>
          <t>Praxisplan</t>
        </is>
      </c>
      <c r="U30" t="inlineStr"/>
      <c r="V30" t="inlineStr">
        <is>
          <t>Unknown</t>
        </is>
      </c>
      <c r="W30" t="inlineStr">
        <is>
          <t>3</t>
        </is>
      </c>
      <c r="X30" t="inlineStr">
        <is>
          <t>Public phone, vienna, tier 2 phone-available</t>
        </is>
      </c>
      <c r="Y30" t="inlineStr">
        <is>
          <t>Not contacted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No</t>
        </is>
      </c>
      <c r="AM30" t="inlineStr"/>
      <c r="AN30" t="inlineStr">
        <is>
          <t>Unknown</t>
        </is>
      </c>
      <c r="AO30" t="inlineStr"/>
      <c r="AP30" t="inlineStr"/>
      <c r="AQ30" t="inlineStr"/>
      <c r="AR30" t="inlineStr">
        <is>
          <t>2026-07-10</t>
        </is>
      </c>
    </row>
    <row r="31">
      <c r="A31" t="inlineStr">
        <is>
          <t>LEAD-00700</t>
        </is>
      </c>
      <c r="B31" t="inlineStr">
        <is>
          <t>2</t>
        </is>
      </c>
      <c r="C31" t="inlineStr">
        <is>
          <t>ent</t>
        </is>
      </c>
      <c r="D31" t="inlineStr">
        <is>
          <t>Hals-, Nasen- u. Ohrenheilkunde (HNO)</t>
        </is>
      </c>
      <c r="E31" t="inlineStr">
        <is>
          <t>ENT (ear, nose, throat)</t>
        </is>
      </c>
      <c r="F31" t="inlineStr">
        <is>
          <t>Dr. Claudia Dittrich</t>
        </is>
      </c>
      <c r="G31" t="inlineStr">
        <is>
          <t>Dr.</t>
        </is>
      </c>
      <c r="H31" t="inlineStr"/>
      <c r="I31" t="inlineStr">
        <is>
          <t>Hals-, Nasen- u. Ohrenheilkunde</t>
        </is>
      </c>
      <c r="J31" t="inlineStr"/>
      <c r="K31" t="inlineStr">
        <is>
          <t>Albert-Schweitzer-Gasse 6/109</t>
        </is>
      </c>
      <c r="L31" t="inlineStr">
        <is>
          <t>1140</t>
        </is>
      </c>
      <c r="M31" t="inlineStr">
        <is>
          <t>Wien</t>
        </is>
      </c>
      <c r="N31" t="inlineStr">
        <is>
          <t>14. Bezirk – Penzing</t>
        </is>
      </c>
      <c r="O31" t="inlineStr">
        <is>
          <t>+43 1 212 01 71</t>
        </is>
      </c>
      <c r="P31" t="inlineStr"/>
      <c r="Q31" t="inlineStr"/>
      <c r="R31" t="inlineStr">
        <is>
          <t>https://www.praxisplan.at/9459/claudia-dittrich/ordination/1</t>
        </is>
      </c>
      <c r="S31" t="inlineStr">
        <is>
          <t>https://www.praxisplan.at/suche?name=&amp;specialization=5&amp;zip=&amp;gender=&amp;diploma=&amp;specialty=&amp;insurance=&amp;vaccine=&amp;locale=</t>
        </is>
      </c>
      <c r="T31" t="inlineStr">
        <is>
          <t>Praxisplan</t>
        </is>
      </c>
      <c r="U31" t="inlineStr"/>
      <c r="V31" t="inlineStr">
        <is>
          <t>Unknown</t>
        </is>
      </c>
      <c r="W31" t="inlineStr">
        <is>
          <t>3</t>
        </is>
      </c>
      <c r="X31" t="inlineStr">
        <is>
          <t>Public phone, vienna, tier 2 phone-available</t>
        </is>
      </c>
      <c r="Y31" t="inlineStr">
        <is>
          <t>Not contacted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No</t>
        </is>
      </c>
      <c r="AL31" t="inlineStr">
        <is>
          <t>No</t>
        </is>
      </c>
      <c r="AM31" t="inlineStr"/>
      <c r="AN31" t="inlineStr">
        <is>
          <t>Unknown</t>
        </is>
      </c>
      <c r="AO31" t="inlineStr"/>
      <c r="AP31" t="inlineStr"/>
      <c r="AQ31" t="inlineStr"/>
      <c r="AR31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2" t="inlineStr">
        <is>
          <t>Metric</t>
        </is>
      </c>
      <c r="B1" t="inlineStr">
        <is>
          <t>Count</t>
        </is>
      </c>
    </row>
    <row r="2">
      <c r="A2" s="3" t="inlineStr">
        <is>
          <t>Total leads</t>
        </is>
      </c>
      <c r="B2">
        <f>COUNTA('Leads'!A2:A5000)</f>
        <v/>
      </c>
    </row>
    <row r="3">
      <c r="A3" s="3" t="inlineStr">
        <is>
          <t>Phone available</t>
        </is>
      </c>
      <c r="B3">
        <f>COUNTIF('Leads'!O2:O5000,"?*")</f>
        <v/>
      </c>
    </row>
    <row r="4">
      <c r="A4" s="3" t="inlineStr">
        <is>
          <t>Email available</t>
        </is>
      </c>
      <c r="B4">
        <f>COUNTIF('Leads'!P2:P5000,"?*")</f>
        <v/>
      </c>
    </row>
    <row r="5">
      <c r="A5" s="3" t="inlineStr">
        <is>
          <t>Website available</t>
        </is>
      </c>
      <c r="B5">
        <f>COUNTIF('Leads'!Q2:Q5000,"?*")</f>
        <v/>
      </c>
    </row>
    <row r="6">
      <c r="A6" s="3" t="inlineStr">
        <is>
          <t>Not contacted</t>
        </is>
      </c>
      <c r="B6">
        <f>COUNTIF('Leads'!Y2:Y5000,"Not contacted")</f>
        <v/>
      </c>
    </row>
    <row r="7">
      <c r="A7" s="3" t="inlineStr">
        <is>
          <t>Called</t>
        </is>
      </c>
      <c r="B7">
        <f>COUNTIF('Leads'!Y2:Y5000,"Called")</f>
        <v/>
      </c>
    </row>
    <row r="8">
      <c r="A8" s="3" t="inlineStr">
        <is>
          <t>Demo booked</t>
        </is>
      </c>
      <c r="B8">
        <f>COUNTIF('Leads'!AL2:AL5000,"Yes")</f>
        <v/>
      </c>
    </row>
    <row r="9">
      <c r="A9" s="3" t="inlineStr">
        <is>
          <t>Interested</t>
        </is>
      </c>
      <c r="B9">
        <f>COUNTIF('Leads'!Y2:Y5000,"Interested")</f>
        <v/>
      </c>
    </row>
    <row r="10">
      <c r="A10" s="3" t="inlineStr">
        <is>
          <t>Follow-up needed</t>
        </is>
      </c>
      <c r="B10">
        <f>COUNTIF('Leads'!Y2:Y5000,"Follow-up needed")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2026-07-10T10:30:21Z</dcterms:created>
  <dcterms:modified xmlns:dcterms="http://purl.org/dc/terms/" xmlns:xsi="http://www.w3.org/2001/XMLSchema-instance" xsi:type="dcterms:W3CDTF">2026-07-10T10:30:21Z</dcterms:modified>
</cp:coreProperties>
</file>